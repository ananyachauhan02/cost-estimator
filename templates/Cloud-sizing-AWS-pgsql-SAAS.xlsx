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19"/>
  <workbookPr/>
  <mc:AlternateContent xmlns:mc="http://schemas.openxmlformats.org/markup-compatibility/2006">
    <mc:Choice Requires="x15">
      <x15ac:absPath xmlns:x15ac="http://schemas.microsoft.com/office/spreadsheetml/2010/11/ac" url="https://crmnext-my.sharepoint.com/personal/harsh_saharan_businessnext_com/Documents/client/bandhan/sizing/"/>
    </mc:Choice>
  </mc:AlternateContent>
  <xr:revisionPtr revIDLastSave="0" documentId="8_{B29010D5-AA20-4D5A-B984-F117EB92E73C}" xr6:coauthVersionLast="47" xr6:coauthVersionMax="47" xr10:uidLastSave="{00000000-0000-0000-0000-000000000000}"/>
  <bookViews>
    <workbookView xWindow="-108" yWindow="-108" windowWidth="23256" windowHeight="13896" tabRatio="799" firstSheet="7" activeTab="7" xr2:uid="{00000000-000D-0000-FFFF-FFFF00000000}"/>
  </bookViews>
  <sheets>
    <sheet name="Volumes_7Jan" sheetId="34" state="hidden" r:id="rId1"/>
    <sheet name="PROD-1Yr" sheetId="16" r:id="rId2"/>
    <sheet name="PROD-2Yr" sheetId="57" r:id="rId3"/>
    <sheet name="PROD-3Yr" sheetId="58" r:id="rId4"/>
    <sheet name="PROD-4Yr" sheetId="59" r:id="rId5"/>
    <sheet name="PROD-5Yr" sheetId="60" r:id="rId6"/>
    <sheet name="DR-5Yr" sheetId="66" r:id="rId7"/>
    <sheet name="Pre-Prod_sit_uat" sheetId="61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6" l="1"/>
  <c r="G18" i="16"/>
  <c r="H18" i="57"/>
  <c r="G18" i="57"/>
  <c r="H18" i="58"/>
  <c r="G18" i="58"/>
  <c r="L47" i="66" l="1"/>
  <c r="L36" i="66"/>
  <c r="J36" i="66"/>
  <c r="L33" i="66"/>
  <c r="K27" i="66"/>
  <c r="J27" i="66"/>
  <c r="L24" i="66"/>
  <c r="L19" i="66"/>
  <c r="I19" i="66"/>
  <c r="L18" i="66"/>
  <c r="H18" i="66"/>
  <c r="K18" i="66" s="1"/>
  <c r="G18" i="66"/>
  <c r="J18" i="66" s="1"/>
  <c r="L14" i="66"/>
  <c r="L13" i="66"/>
  <c r="K13" i="66"/>
  <c r="J13" i="66"/>
  <c r="L12" i="66"/>
  <c r="K12" i="66"/>
  <c r="J12" i="66"/>
  <c r="L9" i="66"/>
  <c r="K9" i="66"/>
  <c r="J9" i="66"/>
  <c r="L8" i="66"/>
  <c r="K8" i="66"/>
  <c r="J8" i="66"/>
  <c r="L7" i="66"/>
  <c r="K7" i="66"/>
  <c r="J7" i="66"/>
  <c r="H18" i="60" l="1"/>
  <c r="K18" i="60" s="1"/>
  <c r="G18" i="60"/>
  <c r="J18" i="60" s="1"/>
  <c r="H18" i="59"/>
  <c r="G18" i="59"/>
  <c r="J18" i="59" s="1"/>
  <c r="K18" i="58"/>
  <c r="J18" i="58"/>
  <c r="K18" i="57"/>
  <c r="K18" i="16"/>
  <c r="I19" i="57"/>
  <c r="L19" i="57" s="1"/>
  <c r="I19" i="58"/>
  <c r="L19" i="58" s="1"/>
  <c r="I19" i="59"/>
  <c r="L19" i="59" s="1"/>
  <c r="I19" i="60"/>
  <c r="L19" i="60" s="1"/>
  <c r="I19" i="16"/>
  <c r="L13" i="61"/>
  <c r="L12" i="61"/>
  <c r="J12" i="61"/>
  <c r="K12" i="61"/>
  <c r="L18" i="60"/>
  <c r="L14" i="60"/>
  <c r="L13" i="60"/>
  <c r="K13" i="60"/>
  <c r="J13" i="60"/>
  <c r="L12" i="60"/>
  <c r="K12" i="60"/>
  <c r="J12" i="60"/>
  <c r="L18" i="59"/>
  <c r="K18" i="59"/>
  <c r="L14" i="59"/>
  <c r="L13" i="59"/>
  <c r="K13" i="59"/>
  <c r="J13" i="59"/>
  <c r="L12" i="59"/>
  <c r="K12" i="59"/>
  <c r="J12" i="59"/>
  <c r="L18" i="58"/>
  <c r="L14" i="58"/>
  <c r="L13" i="58"/>
  <c r="K13" i="58"/>
  <c r="J13" i="58"/>
  <c r="L12" i="58"/>
  <c r="K12" i="58"/>
  <c r="J12" i="58"/>
  <c r="L18" i="57"/>
  <c r="J18" i="57"/>
  <c r="L14" i="57"/>
  <c r="L13" i="57"/>
  <c r="K13" i="57"/>
  <c r="J13" i="57"/>
  <c r="L12" i="57"/>
  <c r="K12" i="57"/>
  <c r="J12" i="57"/>
  <c r="L19" i="16"/>
  <c r="L18" i="16"/>
  <c r="J18" i="16"/>
  <c r="L14" i="16"/>
  <c r="L13" i="16"/>
  <c r="K13" i="16"/>
  <c r="J13" i="16"/>
  <c r="L12" i="16"/>
  <c r="K12" i="16"/>
  <c r="J12" i="16"/>
  <c r="L38" i="61" l="1"/>
  <c r="L31" i="61"/>
  <c r="J31" i="61"/>
  <c r="K22" i="61"/>
  <c r="J22" i="61"/>
  <c r="L19" i="61"/>
  <c r="L9" i="61"/>
  <c r="K9" i="61"/>
  <c r="J9" i="61"/>
  <c r="L8" i="61"/>
  <c r="K8" i="61"/>
  <c r="J8" i="61"/>
  <c r="L7" i="61"/>
  <c r="K7" i="61"/>
  <c r="J7" i="61"/>
  <c r="L47" i="60"/>
  <c r="L36" i="60"/>
  <c r="J36" i="60"/>
  <c r="L33" i="60"/>
  <c r="K27" i="60"/>
  <c r="J27" i="60"/>
  <c r="L24" i="60"/>
  <c r="L9" i="60"/>
  <c r="K9" i="60"/>
  <c r="J9" i="60"/>
  <c r="L8" i="60"/>
  <c r="K8" i="60"/>
  <c r="J8" i="60"/>
  <c r="L7" i="60"/>
  <c r="K7" i="60"/>
  <c r="J7" i="60"/>
  <c r="L48" i="59"/>
  <c r="L37" i="59"/>
  <c r="J37" i="59"/>
  <c r="L34" i="59"/>
  <c r="K28" i="59"/>
  <c r="J28" i="59"/>
  <c r="L25" i="59"/>
  <c r="L9" i="59"/>
  <c r="K9" i="59"/>
  <c r="J9" i="59"/>
  <c r="L8" i="59"/>
  <c r="K8" i="59"/>
  <c r="J8" i="59"/>
  <c r="L7" i="59"/>
  <c r="K7" i="59"/>
  <c r="J7" i="59"/>
  <c r="L47" i="58"/>
  <c r="L36" i="58"/>
  <c r="J36" i="58"/>
  <c r="L33" i="58"/>
  <c r="K27" i="58"/>
  <c r="J27" i="58"/>
  <c r="L24" i="58"/>
  <c r="L9" i="58"/>
  <c r="K9" i="58"/>
  <c r="J9" i="58"/>
  <c r="L8" i="58"/>
  <c r="K8" i="58"/>
  <c r="J8" i="58"/>
  <c r="L7" i="58"/>
  <c r="K7" i="58"/>
  <c r="J7" i="58"/>
  <c r="L47" i="57"/>
  <c r="L36" i="57"/>
  <c r="J36" i="57"/>
  <c r="L33" i="57"/>
  <c r="K27" i="57"/>
  <c r="J27" i="57"/>
  <c r="L24" i="57"/>
  <c r="L9" i="57"/>
  <c r="K9" i="57"/>
  <c r="J9" i="57"/>
  <c r="L8" i="57"/>
  <c r="K8" i="57"/>
  <c r="J8" i="57"/>
  <c r="L7" i="57"/>
  <c r="K7" i="57"/>
  <c r="J7" i="57"/>
  <c r="L47" i="16"/>
  <c r="L36" i="16"/>
  <c r="L33" i="16"/>
  <c r="L24" i="16"/>
  <c r="L9" i="16"/>
  <c r="L8" i="16"/>
  <c r="L7" i="16"/>
  <c r="K9" i="16"/>
  <c r="J9" i="16"/>
  <c r="K7" i="16" l="1"/>
  <c r="J7" i="16"/>
  <c r="J27" i="16" l="1"/>
  <c r="J36" i="16" l="1"/>
  <c r="K27" i="16"/>
  <c r="K8" i="16"/>
  <c r="J8" i="16"/>
</calcChain>
</file>

<file path=xl/sharedStrings.xml><?xml version="1.0" encoding="utf-8"?>
<sst xmlns="http://schemas.openxmlformats.org/spreadsheetml/2006/main" count="542" uniqueCount="116">
  <si>
    <t>SN</t>
  </si>
  <si>
    <t xml:space="preserve">Particulars for sizing  </t>
  </si>
  <si>
    <t>Y1 (Current Year)</t>
  </si>
  <si>
    <t>Y2</t>
  </si>
  <si>
    <t>Y3</t>
  </si>
  <si>
    <t>Y4</t>
  </si>
  <si>
    <t>Y5</t>
  </si>
  <si>
    <t>YoY Growth %</t>
  </si>
  <si>
    <t>Comments, if any</t>
  </si>
  <si>
    <t>CRMNEXT</t>
  </si>
  <si>
    <t>Total Number of Named Users / Operators</t>
  </si>
  <si>
    <t>Number of concurrent users</t>
  </si>
  <si>
    <t>kindly mention %</t>
  </si>
  <si>
    <t>Number of Mobile Users / Operators (Sales force)</t>
  </si>
  <si>
    <t>Number of Leads - Accounts</t>
  </si>
  <si>
    <t xml:space="preserve">Number of Leads - Loans </t>
  </si>
  <si>
    <t xml:space="preserve">Number of Account Applications </t>
  </si>
  <si>
    <t xml:space="preserve">Number of Loan Applications </t>
  </si>
  <si>
    <t>Number of Customers (Individual)</t>
  </si>
  <si>
    <t>Number of Product Holdings per customer</t>
  </si>
  <si>
    <t>Number of Activities (meetings/ calls/ emails) per Lead / Applications</t>
  </si>
  <si>
    <t>Number of Cases/Service Requests (Inbound/ Outbound/ emails) per customer</t>
  </si>
  <si>
    <t>Number of Activities (meetings/ calls/ emails) per Case</t>
  </si>
  <si>
    <t>Number of Delinquent applications (collections)</t>
  </si>
  <si>
    <t>Number of Activities (meetings/ calls/ emails) per Delinquent applications</t>
  </si>
  <si>
    <t>Number of Campaigns per year</t>
  </si>
  <si>
    <t>Number of Activities (meetings/ calls/ emails) per Campaign</t>
  </si>
  <si>
    <t>?</t>
  </si>
  <si>
    <t>Number of Offers per Customer</t>
  </si>
  <si>
    <t xml:space="preserve">Number of API calls </t>
  </si>
  <si>
    <t>Please share Purging policy percentage for volume data at the end of each year</t>
  </si>
  <si>
    <t>NA</t>
  </si>
  <si>
    <t>What are the environments you require?
(e.g.: Production, SIT, UAT)</t>
  </si>
  <si>
    <t xml:space="preserve">Dev, UAT and </t>
  </si>
  <si>
    <t>Sl No.</t>
  </si>
  <si>
    <t>Sandbox Required</t>
  </si>
  <si>
    <t>Yes/No</t>
  </si>
  <si>
    <t>Production</t>
  </si>
  <si>
    <t>No</t>
  </si>
  <si>
    <t>UAT</t>
  </si>
  <si>
    <t>Yes</t>
  </si>
  <si>
    <t>SIT</t>
  </si>
  <si>
    <t>Any Other, if any</t>
  </si>
  <si>
    <t>Cloud Sizing</t>
  </si>
  <si>
    <t>S.N.</t>
  </si>
  <si>
    <t>Services/Instances</t>
  </si>
  <si>
    <t>Nodes</t>
  </si>
  <si>
    <t>Instance Type</t>
  </si>
  <si>
    <t>Pricing Model</t>
  </si>
  <si>
    <t>Per Node
vCPU</t>
  </si>
  <si>
    <t>Per Node 
RAM</t>
  </si>
  <si>
    <t>Per Node 
Storage</t>
  </si>
  <si>
    <t>Total 
vCPU</t>
  </si>
  <si>
    <t>Total 
RAM
(GB)</t>
  </si>
  <si>
    <t>Total 
Storage
(GB)</t>
  </si>
  <si>
    <t>Kubernetes Cluster</t>
  </si>
  <si>
    <t>Cloud Managed Kn8s</t>
  </si>
  <si>
    <t>Kn8s Service</t>
  </si>
  <si>
    <t>Worker Nodes Linux/RHEL (Web, Mobile, WebAPI)</t>
  </si>
  <si>
    <t>Compute Intensive</t>
  </si>
  <si>
    <t>Reserved 3 Yr</t>
  </si>
  <si>
    <t>Worker Nodes Linux/RHEL for Graphana &amp; Prometheus - optional</t>
  </si>
  <si>
    <t>`</t>
  </si>
  <si>
    <t>Worker Nodes Linux/RHEL for EFK - optional</t>
  </si>
  <si>
    <t>PGSQL Database</t>
  </si>
  <si>
    <t>Linux Nodes - Database server</t>
  </si>
  <si>
    <t>Memory Intensive</t>
  </si>
  <si>
    <t>Linux Nodes - cluster (etcd+haproxy, pgbackrest)</t>
  </si>
  <si>
    <t>Storage: SAN</t>
  </si>
  <si>
    <t>10K IOPS</t>
  </si>
  <si>
    <t>PGSQL Database -Reporting Database</t>
  </si>
  <si>
    <t>DMS</t>
  </si>
  <si>
    <t>DMS Storage + Replication</t>
  </si>
  <si>
    <t>Cloud Storage Service</t>
  </si>
  <si>
    <t>On Demand</t>
  </si>
  <si>
    <t>Caching &amp; Session</t>
  </si>
  <si>
    <t>Elasticache Service</t>
  </si>
  <si>
    <t>Infrastructure &amp; Monitoring</t>
  </si>
  <si>
    <t>Load Balancer (Internal  + External)</t>
  </si>
  <si>
    <t>Elastic IP</t>
  </si>
  <si>
    <t>SSL/Route53</t>
  </si>
  <si>
    <t>Provided by Bank</t>
  </si>
  <si>
    <t>Image Registry</t>
  </si>
  <si>
    <t>For Containers</t>
  </si>
  <si>
    <t>NAT Gateway</t>
  </si>
  <si>
    <t>Web Application Firewall (WAF)</t>
  </si>
  <si>
    <t>Bastion Host</t>
  </si>
  <si>
    <t>General Purpose</t>
  </si>
  <si>
    <t>Internet Gateway</t>
  </si>
  <si>
    <t>Monitoring Dashboard</t>
  </si>
  <si>
    <t>Inspector</t>
  </si>
  <si>
    <t>AWS config</t>
  </si>
  <si>
    <t>CloudTrail</t>
  </si>
  <si>
    <t>AWS Key Management Service</t>
  </si>
  <si>
    <t>VPC Ingress/Egress logs</t>
  </si>
  <si>
    <t>Infra Config Audit Log Tools</t>
  </si>
  <si>
    <t>Active Directory (AD Connector)/IAM with SSO Enabled</t>
  </si>
  <si>
    <t>Email Service</t>
  </si>
  <si>
    <t>500K mails/month</t>
  </si>
  <si>
    <t>Back Up - DB &amp; Infra Logs</t>
  </si>
  <si>
    <t>As per bank policy</t>
  </si>
  <si>
    <t>https://calculator.aws/#/estimate?id=a978c5ca8e31cdbea54275f01d83245cda95771b</t>
  </si>
  <si>
    <t>https://calculator.aws/#/estimate?id=5f88578b2828f0d48790c09fd0a8035331c14347</t>
  </si>
  <si>
    <t>https://calculator.aws/#/estimate?id=913d998358d4140dbbb3ea1a167a7ecc4c5bd733</t>
  </si>
  <si>
    <t>https://calculator.aws/#/estimate?id=12795b676487d29ebfa23d80baff8479c0e89679</t>
  </si>
  <si>
    <t>https://calculator.aws/#/estimate?id=66d5939ca202c8b1508ed6f391e64cb3c81211dd</t>
  </si>
  <si>
    <t>https://calculator.aws/#/estimate?id=a1ed70b4d675661abf88def8bcf4426f3541bae8</t>
  </si>
  <si>
    <t>Storage: SAN Pre-prod</t>
  </si>
  <si>
    <t>5K IOPS</t>
  </si>
  <si>
    <t>Storage: SAN SIT</t>
  </si>
  <si>
    <t>Storage: SAN UAT</t>
  </si>
  <si>
    <t>Caching Service</t>
  </si>
  <si>
    <t>Reserved 1 Yr</t>
  </si>
  <si>
    <t>500GB</t>
  </si>
  <si>
    <t>100 GB</t>
  </si>
  <si>
    <t>Back Up - SQL &amp; Infra Logs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</si>
</sst>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.00_ ;_ * \-#,##0.00_ ;_ * &quot;-&quot;??_ ;_ @_ "/>
    <numFmt numFmtId="165" formatCode="_ * #,##0_ ;_ * \-#,##0_ ;_ * &quot;-&quot;??_ ;_ @_ "/>
    <numFmt numFmtId="166" formatCode="0.0&quot; TB&quot;"/>
    <numFmt numFmtId="167" formatCode="_-[$$-409]* #,##0.00_ ;_-[$$-409]* \-#,##0.00\ ;_-[$$-409]* &quot;-&quot;??_ ;_-@_ "/>
  </numFmts>
  <fonts count="3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theme="0"/>
      <name val="Calibri"/>
      <family val="2"/>
      <scheme val="minor"/>
    </font>
    <font>
      <b/>
      <sz val="14"/>
      <color theme="5" tint="-0.249977111117893"/>
      <name val="Calibri"/>
      <family val="2"/>
      <scheme val="minor"/>
    </font>
    <font>
      <b/>
      <sz val="11"/>
      <color theme="0"/>
      <name val="Calibri"/>
      <family val="2"/>
    </font>
    <font>
      <b/>
      <sz val="11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Verdana"/>
      <family val="2"/>
    </font>
    <font>
      <sz val="11"/>
      <color theme="0"/>
      <name val="Calibri"/>
      <family val="2"/>
      <scheme val="minor"/>
    </font>
    <font>
      <b/>
      <sz val="8"/>
      <color theme="0"/>
      <name val="Verdana"/>
      <family val="2"/>
    </font>
    <font>
      <sz val="8"/>
      <color theme="1"/>
      <name val="Verdana"/>
      <family val="2"/>
    </font>
    <font>
      <b/>
      <sz val="8"/>
      <color theme="1"/>
      <name val="Verdana"/>
      <family val="2"/>
    </font>
    <font>
      <sz val="8"/>
      <color rgb="FFFF0000"/>
      <name val="Verdana"/>
      <family val="2"/>
    </font>
    <font>
      <sz val="8"/>
      <color rgb="FF000000"/>
      <name val="Times New Roman"/>
      <family val="1"/>
    </font>
    <font>
      <u/>
      <sz val="11"/>
      <color theme="10"/>
      <name val="Calibri"/>
      <family val="2"/>
      <scheme val="minor"/>
    </font>
    <font>
      <sz val="11"/>
      <color rgb="FF000000"/>
      <name val="Times New Roman"/>
      <family val="1"/>
    </font>
    <font>
      <sz val="11"/>
      <color indexed="8"/>
      <name val="Calibri"/>
      <family val="2"/>
      <charset val="1"/>
    </font>
    <font>
      <sz val="10"/>
      <name val="Arial"/>
      <family val="2"/>
    </font>
    <font>
      <u/>
      <sz val="11"/>
      <color theme="10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</font>
    <font>
      <sz val="12"/>
      <color rgb="FF000000"/>
      <name val="Aptos Narrow"/>
      <family val="2"/>
      <charset val="1"/>
    </font>
    <font>
      <sz val="17"/>
      <color rgb="FF16191F"/>
      <name val="Roboto"/>
    </font>
  </fonts>
  <fills count="11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</patternFill>
    </fill>
    <fill>
      <patternFill patternType="solid">
        <fgColor rgb="FF0070C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2">
    <xf numFmtId="0" fontId="0" fillId="0" borderId="0"/>
    <xf numFmtId="0" fontId="14" fillId="0" borderId="0">
      <alignment vertical="center"/>
    </xf>
    <xf numFmtId="0" fontId="16" fillId="6" borderId="0" applyNumberFormat="0" applyBorder="0" applyAlignment="0" applyProtection="0"/>
    <xf numFmtId="0" fontId="13" fillId="0" borderId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4" fillId="0" borderId="0"/>
    <xf numFmtId="0" fontId="24" fillId="0" borderId="0"/>
    <xf numFmtId="0" fontId="14" fillId="0" borderId="0"/>
    <xf numFmtId="0" fontId="14" fillId="0" borderId="0" applyProtection="0">
      <alignment vertical="center"/>
    </xf>
    <xf numFmtId="0" fontId="25" fillId="0" borderId="0">
      <alignment vertical="center"/>
    </xf>
    <xf numFmtId="0" fontId="26" fillId="0" borderId="0" applyNumberFormat="0" applyFill="0" applyBorder="0" applyAlignment="0" applyProtection="0"/>
    <xf numFmtId="0" fontId="13" fillId="0" borderId="0"/>
    <xf numFmtId="0" fontId="27" fillId="0" borderId="0"/>
    <xf numFmtId="9" fontId="13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4" fillId="0" borderId="0">
      <alignment vertical="center"/>
    </xf>
    <xf numFmtId="164" fontId="14" fillId="0" borderId="0" applyFont="0" applyFill="0" applyBorder="0" applyAlignment="0" applyProtection="0"/>
    <xf numFmtId="9" fontId="14" fillId="0" borderId="0" applyFont="0" applyFill="0" applyBorder="0" applyAlignment="0" applyProtection="0">
      <alignment vertical="center"/>
    </xf>
    <xf numFmtId="0" fontId="28" fillId="0" borderId="0"/>
    <xf numFmtId="0" fontId="29" fillId="0" borderId="0"/>
  </cellStyleXfs>
  <cellXfs count="107">
    <xf numFmtId="0" fontId="0" fillId="0" borderId="0" xfId="0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0" xfId="0" applyFont="1"/>
    <xf numFmtId="0" fontId="2" fillId="0" borderId="0" xfId="0" applyFont="1"/>
    <xf numFmtId="0" fontId="5" fillId="2" borderId="0" xfId="0" applyFont="1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wrapText="1"/>
    </xf>
    <xf numFmtId="0" fontId="8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left" vertical="center"/>
    </xf>
    <xf numFmtId="0" fontId="1" fillId="0" borderId="1" xfId="0" applyFont="1" applyBorder="1"/>
    <xf numFmtId="0" fontId="4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8" fillId="3" borderId="2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12" fillId="0" borderId="2" xfId="0" applyFont="1" applyBorder="1" applyAlignment="1">
      <alignment horizontal="left" vertical="center" wrapText="1"/>
    </xf>
    <xf numFmtId="0" fontId="1" fillId="0" borderId="2" xfId="0" applyFont="1" applyBorder="1"/>
    <xf numFmtId="0" fontId="0" fillId="0" borderId="2" xfId="0" applyBorder="1" applyAlignment="1">
      <alignment wrapText="1"/>
    </xf>
    <xf numFmtId="0" fontId="4" fillId="0" borderId="2" xfId="0" applyFont="1" applyBorder="1" applyAlignment="1">
      <alignment wrapText="1"/>
    </xf>
    <xf numFmtId="0" fontId="4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8" fillId="4" borderId="2" xfId="0" applyFont="1" applyFill="1" applyBorder="1" applyAlignment="1">
      <alignment horizontal="center" vertical="center" wrapText="1"/>
    </xf>
    <xf numFmtId="0" fontId="0" fillId="5" borderId="0" xfId="0" applyFill="1"/>
    <xf numFmtId="0" fontId="0" fillId="0" borderId="4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17" fillId="8" borderId="2" xfId="2" applyFont="1" applyFill="1" applyBorder="1" applyAlignment="1">
      <alignment horizontal="center" vertical="center"/>
    </xf>
    <xf numFmtId="0" fontId="17" fillId="8" borderId="2" xfId="2" applyFont="1" applyFill="1" applyBorder="1" applyAlignment="1">
      <alignment vertical="center" wrapText="1"/>
    </xf>
    <xf numFmtId="0" fontId="17" fillId="8" borderId="2" xfId="2" applyFont="1" applyFill="1" applyBorder="1" applyAlignment="1">
      <alignment horizontal="center" vertical="center" wrapText="1"/>
    </xf>
    <xf numFmtId="0" fontId="17" fillId="8" borderId="2" xfId="2" applyFont="1" applyFill="1" applyBorder="1" applyAlignment="1">
      <alignment horizontal="center" wrapText="1"/>
    </xf>
    <xf numFmtId="0" fontId="18" fillId="5" borderId="2" xfId="3" applyFont="1" applyFill="1" applyBorder="1" applyAlignment="1">
      <alignment horizontal="center" vertical="center" wrapText="1"/>
    </xf>
    <xf numFmtId="0" fontId="18" fillId="5" borderId="2" xfId="3" applyFont="1" applyFill="1" applyBorder="1" applyAlignment="1">
      <alignment vertical="center" wrapText="1"/>
    </xf>
    <xf numFmtId="165" fontId="18" fillId="5" borderId="2" xfId="4" applyNumberFormat="1" applyFont="1" applyFill="1" applyBorder="1" applyAlignment="1">
      <alignment horizontal="left" vertical="center"/>
    </xf>
    <xf numFmtId="0" fontId="19" fillId="5" borderId="2" xfId="3" applyFont="1" applyFill="1" applyBorder="1" applyAlignment="1">
      <alignment vertical="center" wrapText="1"/>
    </xf>
    <xf numFmtId="9" fontId="18" fillId="5" borderId="2" xfId="4" applyNumberFormat="1" applyFont="1" applyFill="1" applyBorder="1" applyAlignment="1">
      <alignment horizontal="left" vertical="center"/>
    </xf>
    <xf numFmtId="165" fontId="20" fillId="5" borderId="2" xfId="4" applyNumberFormat="1" applyFont="1" applyFill="1" applyBorder="1" applyAlignment="1">
      <alignment horizontal="left" vertical="center"/>
    </xf>
    <xf numFmtId="9" fontId="18" fillId="5" borderId="2" xfId="3" applyNumberFormat="1" applyFont="1" applyFill="1" applyBorder="1" applyAlignment="1">
      <alignment horizontal="left" vertical="center" wrapText="1"/>
    </xf>
    <xf numFmtId="165" fontId="18" fillId="5" borderId="2" xfId="4" applyNumberFormat="1" applyFont="1" applyFill="1" applyBorder="1" applyAlignment="1">
      <alignment horizontal="center" vertical="center"/>
    </xf>
    <xf numFmtId="0" fontId="18" fillId="0" borderId="2" xfId="0" applyFont="1" applyBorder="1" applyAlignment="1">
      <alignment vertical="center" wrapText="1"/>
    </xf>
    <xf numFmtId="0" fontId="18" fillId="5" borderId="2" xfId="4" applyNumberFormat="1" applyFont="1" applyFill="1" applyBorder="1" applyAlignment="1">
      <alignment horizontal="center" vertical="center"/>
    </xf>
    <xf numFmtId="0" fontId="18" fillId="5" borderId="2" xfId="3" applyFont="1" applyFill="1" applyBorder="1" applyAlignment="1">
      <alignment horizontal="left" vertical="center" wrapText="1"/>
    </xf>
    <xf numFmtId="0" fontId="18" fillId="0" borderId="2" xfId="3" applyFont="1" applyBorder="1" applyAlignment="1">
      <alignment horizontal="center" vertical="center" wrapText="1"/>
    </xf>
    <xf numFmtId="0" fontId="18" fillId="0" borderId="2" xfId="3" applyFont="1" applyBorder="1" applyAlignment="1">
      <alignment vertical="center" wrapText="1"/>
    </xf>
    <xf numFmtId="0" fontId="18" fillId="0" borderId="2" xfId="4" applyNumberFormat="1" applyFont="1" applyFill="1" applyBorder="1" applyAlignment="1">
      <alignment horizontal="center" vertical="center"/>
    </xf>
    <xf numFmtId="165" fontId="18" fillId="0" borderId="2" xfId="4" applyNumberFormat="1" applyFont="1" applyFill="1" applyBorder="1" applyAlignment="1">
      <alignment horizontal="center" vertical="center"/>
    </xf>
    <xf numFmtId="0" fontId="18" fillId="0" borderId="2" xfId="3" applyFont="1" applyBorder="1" applyAlignment="1">
      <alignment horizontal="left" vertical="center" wrapText="1"/>
    </xf>
    <xf numFmtId="0" fontId="18" fillId="10" borderId="2" xfId="4" applyNumberFormat="1" applyFont="1" applyFill="1" applyBorder="1" applyAlignment="1">
      <alignment horizontal="center" vertical="center"/>
    </xf>
    <xf numFmtId="0" fontId="15" fillId="5" borderId="2" xfId="3" applyFont="1" applyFill="1" applyBorder="1" applyAlignment="1">
      <alignment horizontal="center" vertical="center"/>
    </xf>
    <xf numFmtId="1" fontId="15" fillId="5" borderId="2" xfId="3" applyNumberFormat="1" applyFont="1" applyFill="1" applyBorder="1" applyAlignment="1">
      <alignment horizontal="center" vertical="center"/>
    </xf>
    <xf numFmtId="1" fontId="15" fillId="5" borderId="2" xfId="3" applyNumberFormat="1" applyFont="1" applyFill="1" applyBorder="1" applyAlignment="1">
      <alignment vertical="center"/>
    </xf>
    <xf numFmtId="1" fontId="15" fillId="5" borderId="2" xfId="3" applyNumberFormat="1" applyFont="1" applyFill="1" applyBorder="1" applyAlignment="1">
      <alignment horizontal="left" vertical="center"/>
    </xf>
    <xf numFmtId="0" fontId="15" fillId="10" borderId="2" xfId="3" applyFont="1" applyFill="1" applyBorder="1" applyAlignment="1">
      <alignment horizontal="center" vertical="center"/>
    </xf>
    <xf numFmtId="0" fontId="13" fillId="5" borderId="0" xfId="3" applyFill="1"/>
    <xf numFmtId="0" fontId="18" fillId="5" borderId="2" xfId="3" applyFont="1" applyFill="1" applyBorder="1" applyAlignment="1">
      <alignment vertical="top" wrapText="1"/>
    </xf>
    <xf numFmtId="0" fontId="13" fillId="5" borderId="0" xfId="3" applyFill="1" applyAlignment="1">
      <alignment horizontal="center" vertical="center" wrapText="1"/>
    </xf>
    <xf numFmtId="17" fontId="17" fillId="8" borderId="2" xfId="2" applyNumberFormat="1" applyFont="1" applyFill="1" applyBorder="1" applyAlignment="1">
      <alignment horizontal="center" vertical="center" wrapText="1"/>
    </xf>
    <xf numFmtId="0" fontId="18" fillId="5" borderId="2" xfId="3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left" vertical="top"/>
    </xf>
    <xf numFmtId="0" fontId="12" fillId="0" borderId="2" xfId="0" applyFont="1" applyBorder="1" applyAlignment="1">
      <alignment horizontal="left" wrapText="1"/>
    </xf>
    <xf numFmtId="0" fontId="12" fillId="0" borderId="2" xfId="0" applyFont="1" applyBorder="1" applyAlignment="1">
      <alignment horizontal="center" vertical="center"/>
    </xf>
    <xf numFmtId="1" fontId="12" fillId="0" borderId="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wrapText="1"/>
    </xf>
    <xf numFmtId="0" fontId="21" fillId="0" borderId="0" xfId="0" applyFont="1"/>
    <xf numFmtId="0" fontId="0" fillId="5" borderId="2" xfId="0" applyFill="1" applyBorder="1" applyAlignment="1">
      <alignment horizontal="center" vertical="center"/>
    </xf>
    <xf numFmtId="0" fontId="0" fillId="5" borderId="2" xfId="0" applyFill="1" applyBorder="1" applyAlignment="1">
      <alignment wrapText="1"/>
    </xf>
    <xf numFmtId="0" fontId="0" fillId="5" borderId="4" xfId="0" applyFill="1" applyBorder="1" applyAlignment="1">
      <alignment wrapText="1"/>
    </xf>
    <xf numFmtId="0" fontId="4" fillId="5" borderId="0" xfId="0" applyFont="1" applyFill="1" applyAlignment="1">
      <alignment horizontal="left"/>
    </xf>
    <xf numFmtId="0" fontId="11" fillId="5" borderId="0" xfId="0" applyFont="1" applyFill="1" applyAlignment="1">
      <alignment horizontal="left" vertical="center"/>
    </xf>
    <xf numFmtId="0" fontId="12" fillId="5" borderId="2" xfId="0" applyFont="1" applyFill="1" applyBorder="1" applyAlignment="1">
      <alignment horizontal="left" vertical="center" wrapText="1"/>
    </xf>
    <xf numFmtId="0" fontId="9" fillId="5" borderId="2" xfId="0" applyFont="1" applyFill="1" applyBorder="1" applyAlignment="1">
      <alignment horizontal="left" vertical="center"/>
    </xf>
    <xf numFmtId="0" fontId="1" fillId="5" borderId="1" xfId="0" applyFont="1" applyFill="1" applyBorder="1"/>
    <xf numFmtId="0" fontId="10" fillId="5" borderId="1" xfId="0" applyFont="1" applyFill="1" applyBorder="1" applyAlignment="1">
      <alignment horizontal="left" vertical="center"/>
    </xf>
    <xf numFmtId="0" fontId="9" fillId="5" borderId="2" xfId="0" applyFont="1" applyFill="1" applyBorder="1" applyAlignment="1">
      <alignment horizontal="left" vertical="center" wrapText="1"/>
    </xf>
    <xf numFmtId="0" fontId="22" fillId="0" borderId="0" xfId="6"/>
    <xf numFmtId="0" fontId="0" fillId="5" borderId="3" xfId="0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1" fontId="12" fillId="5" borderId="2" xfId="0" applyNumberFormat="1" applyFont="1" applyFill="1" applyBorder="1" applyAlignment="1">
      <alignment horizontal="center" vertical="center"/>
    </xf>
    <xf numFmtId="0" fontId="23" fillId="0" borderId="0" xfId="0" applyFont="1"/>
    <xf numFmtId="1" fontId="0" fillId="0" borderId="0" xfId="0" applyNumberFormat="1"/>
    <xf numFmtId="166" fontId="0" fillId="0" borderId="2" xfId="0" applyNumberFormat="1" applyBorder="1" applyAlignment="1">
      <alignment horizontal="center" vertical="center"/>
    </xf>
    <xf numFmtId="166" fontId="0" fillId="0" borderId="5" xfId="0" applyNumberForma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1" fontId="0" fillId="0" borderId="2" xfId="0" applyNumberFormat="1" applyBorder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22" fillId="0" borderId="2" xfId="6" applyBorder="1"/>
    <xf numFmtId="167" fontId="0" fillId="0" borderId="2" xfId="0" applyNumberFormat="1" applyBorder="1"/>
    <xf numFmtId="4" fontId="30" fillId="0" borderId="0" xfId="0" applyNumberFormat="1" applyFont="1"/>
    <xf numFmtId="0" fontId="6" fillId="7" borderId="1" xfId="3" applyFont="1" applyFill="1" applyBorder="1" applyAlignment="1">
      <alignment horizontal="left"/>
    </xf>
    <xf numFmtId="0" fontId="17" fillId="9" borderId="5" xfId="2" applyFont="1" applyFill="1" applyBorder="1" applyAlignment="1">
      <alignment horizontal="center" vertical="center"/>
    </xf>
    <xf numFmtId="0" fontId="17" fillId="9" borderId="6" xfId="2" applyFont="1" applyFill="1" applyBorder="1" applyAlignment="1">
      <alignment horizontal="center" vertical="center"/>
    </xf>
    <xf numFmtId="0" fontId="17" fillId="9" borderId="7" xfId="2" applyFont="1" applyFill="1" applyBorder="1" applyAlignment="1">
      <alignment horizontal="center" vertical="center"/>
    </xf>
    <xf numFmtId="0" fontId="15" fillId="5" borderId="2" xfId="3" applyFont="1" applyFill="1" applyBorder="1" applyAlignment="1">
      <alignment horizontal="left" vertical="top" wrapText="1"/>
    </xf>
    <xf numFmtId="9" fontId="18" fillId="5" borderId="2" xfId="3" applyNumberFormat="1" applyFont="1" applyFill="1" applyBorder="1" applyAlignment="1">
      <alignment horizontal="left" vertical="top" wrapText="1"/>
    </xf>
  </cellXfs>
  <cellStyles count="22">
    <cellStyle name="Accent1" xfId="2" builtinId="29"/>
    <cellStyle name="Comma 2" xfId="4" xr:uid="{00000000-0005-0000-0000-000001000000}"/>
    <cellStyle name="Comma 3" xfId="5" xr:uid="{00000000-0005-0000-0000-000002000000}"/>
    <cellStyle name="Comma 4" xfId="18" xr:uid="{FFBFA63B-2457-4786-B171-63655A1E3469}"/>
    <cellStyle name="Excel Built-in Normal" xfId="1" xr:uid="{00000000-0005-0000-0000-000003000000}"/>
    <cellStyle name="Excel Built-in Normal 2" xfId="8" xr:uid="{E7FE38B8-26D4-4BC1-94B4-5319BC786C46}"/>
    <cellStyle name="Excel Built-in Normal_Data Sizing" xfId="10" xr:uid="{CC838714-AB63-4406-9E53-FCC77DFFFE26}"/>
    <cellStyle name="Hyperlink" xfId="6" builtinId="8"/>
    <cellStyle name="Hyperlink 2" xfId="12" xr:uid="{E50E34A1-0C09-4A56-9F56-4287215F8416}"/>
    <cellStyle name="Normal" xfId="0" builtinId="0"/>
    <cellStyle name="Normal 2" xfId="11" xr:uid="{4BF201FC-2B35-4F40-BE05-BE579522E70B}"/>
    <cellStyle name="Normal 2 4" xfId="14" xr:uid="{EA6D18D7-08D3-4DC3-A71F-6D1346A7FF43}"/>
    <cellStyle name="Normal 3" xfId="3" xr:uid="{00000000-0005-0000-0000-000005000000}"/>
    <cellStyle name="Normal 3 2" xfId="9" xr:uid="{C97D09A9-14A4-4798-B705-0F39949ABE84}"/>
    <cellStyle name="Normal 3 3" xfId="13" xr:uid="{D39BEC9E-6406-4B8F-9439-39F9ED55B3C5}"/>
    <cellStyle name="Normal 4" xfId="17" xr:uid="{AE12571E-80EA-4F30-87E1-0165C430F7DC}"/>
    <cellStyle name="Normal 5" xfId="7" xr:uid="{A218FF62-F44B-44BB-B730-DA66F475880C}"/>
    <cellStyle name="Normal 5 2" xfId="21" xr:uid="{BB421FB2-89D7-450E-B751-5B49A3EB909C}"/>
    <cellStyle name="Normal 6" xfId="20" xr:uid="{491895C5-F7DA-4B13-85AD-4010541A8E06}"/>
    <cellStyle name="Percent 2" xfId="15" xr:uid="{B2A877D8-D37B-48AB-8F6F-C161928FE12F}"/>
    <cellStyle name="Percent 3" xfId="19" xr:uid="{186B64EE-694A-4206-B69E-9A6525CE72B8}"/>
    <cellStyle name="Percent 4" xfId="16" xr:uid="{526DDBCE-3D99-4D5D-BDB3-707E86D036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31"/>
  <sheetViews>
    <sheetView topLeftCell="A3" zoomScaleNormal="100" workbookViewId="0">
      <selection activeCell="E17" sqref="E17"/>
    </sheetView>
  </sheetViews>
  <sheetFormatPr defaultRowHeight="14.45"/>
  <cols>
    <col min="2" max="2" width="6.28515625" style="64" bestFit="1" customWidth="1"/>
    <col min="3" max="3" width="45.42578125" style="64" customWidth="1"/>
    <col min="4" max="8" width="11.7109375" style="64" bestFit="1" customWidth="1"/>
    <col min="9" max="9" width="13.42578125" style="64" bestFit="1" customWidth="1"/>
    <col min="10" max="10" width="33.28515625" style="64" bestFit="1" customWidth="1"/>
  </cols>
  <sheetData>
    <row r="2" spans="2:10" ht="25.5" customHeight="1">
      <c r="B2" s="101"/>
      <c r="C2" s="101"/>
      <c r="D2" s="101"/>
      <c r="E2" s="101"/>
      <c r="F2" s="101"/>
      <c r="G2" s="101"/>
      <c r="H2" s="101"/>
      <c r="I2" s="101"/>
      <c r="J2" s="101"/>
    </row>
    <row r="3" spans="2:10" ht="20.45">
      <c r="B3" s="38" t="s">
        <v>0</v>
      </c>
      <c r="C3" s="39" t="s">
        <v>1</v>
      </c>
      <c r="D3" s="40" t="s">
        <v>2</v>
      </c>
      <c r="E3" s="40" t="s">
        <v>3</v>
      </c>
      <c r="F3" s="40" t="s">
        <v>4</v>
      </c>
      <c r="G3" s="40" t="s">
        <v>5</v>
      </c>
      <c r="H3" s="40" t="s">
        <v>6</v>
      </c>
      <c r="I3" s="41" t="s">
        <v>7</v>
      </c>
      <c r="J3" s="40" t="s">
        <v>8</v>
      </c>
    </row>
    <row r="4" spans="2:10">
      <c r="B4" s="102" t="s">
        <v>9</v>
      </c>
      <c r="C4" s="103"/>
      <c r="D4" s="103"/>
      <c r="E4" s="103"/>
      <c r="F4" s="103"/>
      <c r="G4" s="103"/>
      <c r="H4" s="103"/>
      <c r="I4" s="103"/>
      <c r="J4" s="104"/>
    </row>
    <row r="5" spans="2:10">
      <c r="B5" s="42">
        <v>1</v>
      </c>
      <c r="C5" s="43" t="s">
        <v>10</v>
      </c>
      <c r="D5" s="44">
        <v>20</v>
      </c>
      <c r="E5" s="44">
        <v>50</v>
      </c>
      <c r="F5" s="44">
        <v>100</v>
      </c>
      <c r="G5" s="44">
        <v>150</v>
      </c>
      <c r="H5" s="44">
        <v>200</v>
      </c>
      <c r="I5" s="44"/>
      <c r="J5" s="43"/>
    </row>
    <row r="6" spans="2:10">
      <c r="B6" s="42">
        <v>2</v>
      </c>
      <c r="C6" s="45" t="s">
        <v>11</v>
      </c>
      <c r="D6" s="44"/>
      <c r="E6" s="44"/>
      <c r="F6" s="44"/>
      <c r="G6" s="44"/>
      <c r="H6" s="44"/>
      <c r="I6" s="46" t="s">
        <v>12</v>
      </c>
      <c r="J6" s="43"/>
    </row>
    <row r="7" spans="2:10">
      <c r="B7" s="42">
        <v>3</v>
      </c>
      <c r="C7" s="43" t="s">
        <v>13</v>
      </c>
      <c r="D7" s="47">
        <v>100</v>
      </c>
      <c r="E7" s="47">
        <v>200</v>
      </c>
      <c r="F7" s="47">
        <v>500</v>
      </c>
      <c r="G7" s="47">
        <v>1000</v>
      </c>
      <c r="H7" s="47">
        <v>1500</v>
      </c>
      <c r="I7" s="46"/>
      <c r="J7" s="48"/>
    </row>
    <row r="8" spans="2:10">
      <c r="B8" s="42">
        <v>4</v>
      </c>
      <c r="C8" s="43" t="s">
        <v>14</v>
      </c>
      <c r="D8" s="49">
        <v>605575.6</v>
      </c>
      <c r="E8" s="49">
        <v>2092808.2</v>
      </c>
      <c r="F8" s="49">
        <v>8319721.9000000004</v>
      </c>
      <c r="G8" s="49">
        <v>23948339.100000001</v>
      </c>
      <c r="H8" s="49">
        <v>48056610.700000003</v>
      </c>
      <c r="I8" s="49"/>
      <c r="J8" s="43"/>
    </row>
    <row r="9" spans="2:10">
      <c r="B9" s="42">
        <v>5</v>
      </c>
      <c r="C9" s="43" t="s">
        <v>15</v>
      </c>
      <c r="D9" s="49">
        <v>400000</v>
      </c>
      <c r="E9" s="49">
        <v>2479120</v>
      </c>
      <c r="F9" s="49">
        <v>10222240</v>
      </c>
      <c r="G9" s="49">
        <v>27276280</v>
      </c>
      <c r="H9" s="49">
        <v>53964160</v>
      </c>
      <c r="I9" s="49"/>
      <c r="J9" s="43"/>
    </row>
    <row r="10" spans="2:10">
      <c r="B10" s="42">
        <v>5</v>
      </c>
      <c r="C10" s="43" t="s">
        <v>16</v>
      </c>
      <c r="D10" s="49">
        <v>60557.560000000005</v>
      </c>
      <c r="E10" s="49">
        <v>209280.82</v>
      </c>
      <c r="F10" s="49">
        <v>831972.19</v>
      </c>
      <c r="G10" s="49">
        <v>2394833.91</v>
      </c>
      <c r="H10" s="49">
        <v>4805661.07</v>
      </c>
      <c r="I10" s="49"/>
      <c r="J10" s="43"/>
    </row>
    <row r="11" spans="2:10">
      <c r="B11" s="42">
        <v>6</v>
      </c>
      <c r="C11" s="43" t="s">
        <v>17</v>
      </c>
      <c r="D11" s="49">
        <v>40000</v>
      </c>
      <c r="E11" s="49">
        <v>247912</v>
      </c>
      <c r="F11" s="49">
        <v>1022224</v>
      </c>
      <c r="G11" s="49">
        <v>2727628</v>
      </c>
      <c r="H11" s="49">
        <v>5396416</v>
      </c>
      <c r="I11" s="49"/>
      <c r="J11" s="43"/>
    </row>
    <row r="12" spans="2:10">
      <c r="B12" s="42">
        <v>7</v>
      </c>
      <c r="C12" s="43" t="s">
        <v>18</v>
      </c>
      <c r="D12" s="49">
        <v>55532</v>
      </c>
      <c r="E12" s="49">
        <v>219332</v>
      </c>
      <c r="F12" s="49">
        <v>881099</v>
      </c>
      <c r="G12" s="49">
        <v>2482534</v>
      </c>
      <c r="H12" s="49">
        <v>4962383</v>
      </c>
      <c r="I12" s="49"/>
      <c r="J12" s="43"/>
    </row>
    <row r="13" spans="2:10">
      <c r="B13" s="42">
        <v>8</v>
      </c>
      <c r="C13" s="50" t="s">
        <v>19</v>
      </c>
      <c r="D13" s="51">
        <v>1.5</v>
      </c>
      <c r="E13" s="49"/>
      <c r="F13" s="49"/>
      <c r="G13" s="49"/>
      <c r="H13" s="49"/>
      <c r="I13" s="49"/>
      <c r="J13" s="43"/>
    </row>
    <row r="14" spans="2:10" ht="20.45">
      <c r="B14" s="42">
        <v>9</v>
      </c>
      <c r="C14" s="43" t="s">
        <v>20</v>
      </c>
      <c r="D14" s="51">
        <v>2</v>
      </c>
      <c r="E14" s="49"/>
      <c r="F14" s="49"/>
      <c r="G14" s="49"/>
      <c r="H14" s="49"/>
      <c r="I14" s="49"/>
      <c r="J14" s="43"/>
    </row>
    <row r="15" spans="2:10" ht="20.45">
      <c r="B15" s="42">
        <v>10</v>
      </c>
      <c r="C15" s="43" t="s">
        <v>21</v>
      </c>
      <c r="D15" s="51">
        <v>0.5</v>
      </c>
      <c r="E15" s="49"/>
      <c r="F15" s="49"/>
      <c r="G15" s="49"/>
      <c r="H15" s="49"/>
      <c r="I15" s="49"/>
      <c r="J15" s="43"/>
    </row>
    <row r="16" spans="2:10">
      <c r="B16" s="42">
        <v>11</v>
      </c>
      <c r="C16" s="43" t="s">
        <v>22</v>
      </c>
      <c r="D16" s="51">
        <v>4</v>
      </c>
      <c r="E16" s="49"/>
      <c r="F16" s="49"/>
      <c r="G16" s="49"/>
      <c r="H16" s="49"/>
      <c r="I16" s="49"/>
      <c r="J16" s="52"/>
    </row>
    <row r="17" spans="2:10">
      <c r="B17" s="53">
        <v>12</v>
      </c>
      <c r="C17" s="43" t="s">
        <v>23</v>
      </c>
      <c r="D17" s="51">
        <v>0.1</v>
      </c>
      <c r="E17" s="49"/>
      <c r="F17" s="49"/>
      <c r="G17" s="49"/>
      <c r="H17" s="49"/>
      <c r="I17" s="49"/>
      <c r="J17" s="52"/>
    </row>
    <row r="18" spans="2:10" ht="20.45">
      <c r="B18" s="53">
        <v>13</v>
      </c>
      <c r="C18" s="43" t="s">
        <v>24</v>
      </c>
      <c r="D18" s="51">
        <v>5</v>
      </c>
      <c r="E18" s="49"/>
      <c r="F18" s="49"/>
      <c r="G18" s="49"/>
      <c r="H18" s="49"/>
      <c r="I18" s="49"/>
      <c r="J18" s="52"/>
    </row>
    <row r="19" spans="2:10">
      <c r="B19" s="42">
        <v>14</v>
      </c>
      <c r="C19" s="54" t="s">
        <v>25</v>
      </c>
      <c r="D19" s="55">
        <v>10</v>
      </c>
      <c r="E19" s="56"/>
      <c r="F19" s="56"/>
      <c r="G19" s="56"/>
      <c r="H19" s="56"/>
      <c r="I19" s="56"/>
      <c r="J19" s="57"/>
    </row>
    <row r="20" spans="2:10">
      <c r="B20" s="53">
        <v>15</v>
      </c>
      <c r="C20" s="54" t="s">
        <v>26</v>
      </c>
      <c r="D20" s="58" t="s">
        <v>27</v>
      </c>
      <c r="E20" s="56"/>
      <c r="F20" s="56"/>
      <c r="G20" s="56"/>
      <c r="H20" s="56"/>
      <c r="I20" s="56"/>
      <c r="J20" s="57"/>
    </row>
    <row r="21" spans="2:10">
      <c r="B21" s="42">
        <v>16</v>
      </c>
      <c r="C21" s="43" t="s">
        <v>28</v>
      </c>
      <c r="D21" s="59">
        <v>1.5</v>
      </c>
      <c r="E21" s="60"/>
      <c r="F21" s="60"/>
      <c r="G21" s="60"/>
      <c r="H21" s="60"/>
      <c r="I21" s="61"/>
      <c r="J21" s="43"/>
    </row>
    <row r="22" spans="2:10">
      <c r="B22" s="42">
        <v>17</v>
      </c>
      <c r="C22" s="62" t="s">
        <v>29</v>
      </c>
      <c r="D22" s="63" t="s">
        <v>27</v>
      </c>
      <c r="E22" s="60"/>
      <c r="F22" s="60"/>
      <c r="G22" s="60"/>
      <c r="H22" s="60"/>
      <c r="I22" s="61"/>
      <c r="J22" s="43"/>
    </row>
    <row r="24" spans="2:10" ht="20.45">
      <c r="B24" s="42">
        <v>1</v>
      </c>
      <c r="C24" s="65" t="s">
        <v>30</v>
      </c>
      <c r="D24" s="105" t="s">
        <v>31</v>
      </c>
      <c r="E24" s="105"/>
      <c r="F24" s="105"/>
      <c r="G24" s="105"/>
      <c r="H24" s="105"/>
      <c r="I24" s="66"/>
    </row>
    <row r="25" spans="2:10" ht="20.45">
      <c r="B25" s="42">
        <v>2</v>
      </c>
      <c r="C25" s="65" t="s">
        <v>32</v>
      </c>
      <c r="D25" s="106" t="s">
        <v>33</v>
      </c>
      <c r="E25" s="106"/>
      <c r="F25" s="106"/>
      <c r="G25" s="106"/>
      <c r="H25" s="106"/>
      <c r="I25" s="66"/>
    </row>
    <row r="27" spans="2:10">
      <c r="B27" s="39" t="s">
        <v>34</v>
      </c>
      <c r="C27" s="39" t="s">
        <v>35</v>
      </c>
      <c r="D27" s="67" t="s">
        <v>36</v>
      </c>
    </row>
    <row r="28" spans="2:10">
      <c r="B28" s="68">
        <v>1</v>
      </c>
      <c r="C28" s="43" t="s">
        <v>37</v>
      </c>
      <c r="D28" s="42" t="s">
        <v>38</v>
      </c>
    </row>
    <row r="29" spans="2:10">
      <c r="B29" s="68">
        <v>2</v>
      </c>
      <c r="C29" s="43" t="s">
        <v>39</v>
      </c>
      <c r="D29" s="42" t="s">
        <v>40</v>
      </c>
    </row>
    <row r="30" spans="2:10">
      <c r="B30" s="68">
        <v>3</v>
      </c>
      <c r="C30" s="43" t="s">
        <v>41</v>
      </c>
      <c r="D30" s="42" t="s">
        <v>38</v>
      </c>
    </row>
    <row r="31" spans="2:10">
      <c r="B31" s="68">
        <v>4</v>
      </c>
      <c r="C31" s="43" t="s">
        <v>42</v>
      </c>
      <c r="D31" s="42" t="s">
        <v>38</v>
      </c>
    </row>
  </sheetData>
  <mergeCells count="4">
    <mergeCell ref="B2:J2"/>
    <mergeCell ref="B4:J4"/>
    <mergeCell ref="D24:H24"/>
    <mergeCell ref="D25:H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9"/>
  <sheetViews>
    <sheetView showGridLines="0" zoomScale="80" zoomScaleNormal="80" workbookViewId="0">
      <selection activeCell="G20" sqref="G20"/>
    </sheetView>
  </sheetViews>
  <sheetFormatPr defaultRowHeight="14.45"/>
  <cols>
    <col min="2" max="2" width="7.5703125" customWidth="1"/>
    <col min="3" max="3" width="82.42578125" customWidth="1"/>
    <col min="4" max="4" width="25.28515625" style="6" customWidth="1"/>
    <col min="5" max="5" width="20.42578125" style="4" bestFit="1" customWidth="1"/>
    <col min="6" max="6" width="25.28515625" style="4" customWidth="1"/>
    <col min="7" max="8" width="9.28515625" style="6" bestFit="1" customWidth="1"/>
    <col min="9" max="9" width="14" style="6" customWidth="1"/>
    <col min="10" max="10" width="8.42578125" style="6" bestFit="1" customWidth="1"/>
    <col min="11" max="11" width="8.42578125" style="6" customWidth="1"/>
    <col min="12" max="12" width="18.7109375" style="6" customWidth="1"/>
    <col min="13" max="13" width="18.42578125" customWidth="1"/>
    <col min="14" max="14" width="17.7109375" customWidth="1"/>
    <col min="15" max="15" width="16.28515625" bestFit="1" customWidth="1"/>
    <col min="16" max="16" width="23.7109375" customWidth="1"/>
    <col min="17" max="17" width="31" customWidth="1"/>
    <col min="19" max="19" width="27.5703125" customWidth="1"/>
    <col min="20" max="20" width="14" bestFit="1" customWidth="1"/>
    <col min="21" max="21" width="16.28515625" bestFit="1" customWidth="1"/>
    <col min="22" max="22" width="21.42578125" bestFit="1" customWidth="1"/>
    <col min="23" max="23" width="24.42578125" bestFit="1" customWidth="1"/>
  </cols>
  <sheetData>
    <row r="1" spans="1:13" ht="18">
      <c r="B1" s="8"/>
    </row>
    <row r="2" spans="1:13" ht="18">
      <c r="D2" s="9" t="s">
        <v>43</v>
      </c>
      <c r="E2" s="9"/>
      <c r="F2" s="9"/>
      <c r="G2" s="9"/>
      <c r="H2" s="9"/>
      <c r="I2" s="9"/>
      <c r="J2" s="9"/>
      <c r="K2" s="9"/>
      <c r="L2" s="9"/>
    </row>
    <row r="3" spans="1:13" ht="15.6">
      <c r="B3" s="10"/>
      <c r="C3" s="11"/>
      <c r="D3" s="12"/>
      <c r="E3" s="13"/>
      <c r="F3" s="13"/>
      <c r="G3" s="12"/>
      <c r="H3" s="12"/>
      <c r="I3" s="12"/>
      <c r="J3" s="12"/>
      <c r="K3" s="12"/>
      <c r="L3" s="12"/>
    </row>
    <row r="4" spans="1:13" ht="43.15">
      <c r="B4" s="14" t="s">
        <v>44</v>
      </c>
      <c r="C4" s="15" t="s">
        <v>45</v>
      </c>
      <c r="D4" s="22" t="s">
        <v>46</v>
      </c>
      <c r="E4" s="23" t="s">
        <v>47</v>
      </c>
      <c r="F4" s="23" t="s">
        <v>48</v>
      </c>
      <c r="G4" s="23" t="s">
        <v>49</v>
      </c>
      <c r="H4" s="23" t="s">
        <v>50</v>
      </c>
      <c r="I4" s="23" t="s">
        <v>51</v>
      </c>
      <c r="J4" s="34" t="s">
        <v>52</v>
      </c>
      <c r="K4" s="34" t="s">
        <v>53</v>
      </c>
      <c r="L4" s="34" t="s">
        <v>54</v>
      </c>
    </row>
    <row r="5" spans="1:13">
      <c r="B5" s="21">
        <v>1</v>
      </c>
      <c r="C5" s="20" t="s">
        <v>55</v>
      </c>
      <c r="D5" s="24"/>
      <c r="E5" s="25"/>
      <c r="F5" s="25"/>
      <c r="G5" s="24"/>
      <c r="H5" s="24"/>
      <c r="I5" s="24"/>
      <c r="J5" s="24"/>
      <c r="K5" s="24"/>
      <c r="L5" s="24"/>
    </row>
    <row r="6" spans="1:13">
      <c r="B6" s="18"/>
      <c r="C6" s="19" t="s">
        <v>56</v>
      </c>
      <c r="D6" s="26">
        <v>1</v>
      </c>
      <c r="E6" s="27" t="s">
        <v>57</v>
      </c>
      <c r="F6" s="27"/>
      <c r="G6" s="24"/>
      <c r="H6" s="24"/>
      <c r="I6" s="24"/>
      <c r="J6" s="24"/>
      <c r="K6" s="24"/>
      <c r="L6" s="24"/>
    </row>
    <row r="7" spans="1:13">
      <c r="B7" s="6"/>
      <c r="C7" s="2" t="s">
        <v>58</v>
      </c>
      <c r="D7" s="77">
        <v>4</v>
      </c>
      <c r="E7" s="78" t="s">
        <v>59</v>
      </c>
      <c r="F7" s="79" t="s">
        <v>60</v>
      </c>
      <c r="G7" s="77">
        <v>16</v>
      </c>
      <c r="H7" s="77">
        <v>32</v>
      </c>
      <c r="I7" s="26">
        <v>256</v>
      </c>
      <c r="J7" s="26">
        <f t="shared" ref="J7" si="0">G7*D7</f>
        <v>64</v>
      </c>
      <c r="K7" s="26">
        <f t="shared" ref="K7" si="1">H7*D7</f>
        <v>128</v>
      </c>
      <c r="L7" s="93">
        <f>I7*D7/1024</f>
        <v>1</v>
      </c>
    </row>
    <row r="8" spans="1:13">
      <c r="B8" s="6"/>
      <c r="C8" s="2" t="s">
        <v>61</v>
      </c>
      <c r="D8" s="26">
        <v>2</v>
      </c>
      <c r="E8" s="29" t="s">
        <v>59</v>
      </c>
      <c r="F8" s="79" t="s">
        <v>60</v>
      </c>
      <c r="G8" s="26">
        <v>8</v>
      </c>
      <c r="H8" s="26">
        <v>16</v>
      </c>
      <c r="I8" s="26">
        <v>512</v>
      </c>
      <c r="J8" s="26">
        <f t="shared" ref="J8" si="2">G8*D8</f>
        <v>16</v>
      </c>
      <c r="K8" s="26">
        <f t="shared" ref="K8" si="3">H8*D8</f>
        <v>32</v>
      </c>
      <c r="L8" s="93">
        <f>I8*D8/1024</f>
        <v>1</v>
      </c>
    </row>
    <row r="9" spans="1:13">
      <c r="A9" t="s">
        <v>62</v>
      </c>
      <c r="B9" s="6"/>
      <c r="C9" s="2" t="s">
        <v>63</v>
      </c>
      <c r="D9" s="26">
        <v>2</v>
      </c>
      <c r="E9" s="29" t="s">
        <v>59</v>
      </c>
      <c r="F9" s="79" t="s">
        <v>60</v>
      </c>
      <c r="G9" s="26">
        <v>8</v>
      </c>
      <c r="H9" s="26">
        <v>16</v>
      </c>
      <c r="I9" s="26">
        <v>1024</v>
      </c>
      <c r="J9" s="26">
        <f t="shared" ref="J9" si="4">G9*D9</f>
        <v>16</v>
      </c>
      <c r="K9" s="26">
        <f t="shared" ref="K9" si="5">H9*D9</f>
        <v>32</v>
      </c>
      <c r="L9" s="93">
        <f>I9*D9/1024</f>
        <v>2</v>
      </c>
    </row>
    <row r="10" spans="1:13" ht="13.5" customHeight="1">
      <c r="B10" s="6"/>
      <c r="C10" s="2"/>
      <c r="D10" s="26"/>
      <c r="E10" s="29"/>
      <c r="F10" s="79"/>
      <c r="G10" s="26"/>
      <c r="H10" s="26"/>
      <c r="I10" s="26"/>
      <c r="J10" s="26"/>
      <c r="K10" s="26"/>
      <c r="L10" s="26"/>
    </row>
    <row r="11" spans="1:13">
      <c r="B11" s="7">
        <v>2</v>
      </c>
      <c r="C11" s="84" t="s">
        <v>64</v>
      </c>
      <c r="D11" s="28"/>
      <c r="E11" s="28"/>
      <c r="F11" s="28"/>
      <c r="G11" s="28"/>
      <c r="H11" s="28"/>
      <c r="I11" s="28"/>
      <c r="J11" s="28"/>
      <c r="K11" s="28"/>
      <c r="L11" s="28"/>
      <c r="M11" s="92"/>
    </row>
    <row r="12" spans="1:13">
      <c r="B12" s="6"/>
      <c r="C12" s="35" t="s">
        <v>65</v>
      </c>
      <c r="D12" s="26">
        <v>2</v>
      </c>
      <c r="E12" s="30" t="s">
        <v>66</v>
      </c>
      <c r="F12" s="36"/>
      <c r="G12" s="26">
        <v>32</v>
      </c>
      <c r="H12" s="26">
        <v>128</v>
      </c>
      <c r="I12" s="26">
        <v>300</v>
      </c>
      <c r="J12" s="26">
        <f>G12*D12</f>
        <v>64</v>
      </c>
      <c r="K12" s="26">
        <f>H12*D12</f>
        <v>256</v>
      </c>
      <c r="L12" s="93">
        <f>I12*D12/1024</f>
        <v>0.5859375</v>
      </c>
      <c r="M12" s="92"/>
    </row>
    <row r="13" spans="1:13">
      <c r="B13" s="6"/>
      <c r="C13" s="35" t="s">
        <v>67</v>
      </c>
      <c r="D13" s="26">
        <v>4</v>
      </c>
      <c r="E13" s="30" t="s">
        <v>66</v>
      </c>
      <c r="F13" s="36"/>
      <c r="G13" s="26">
        <v>2</v>
      </c>
      <c r="H13" s="26">
        <v>8</v>
      </c>
      <c r="I13" s="26">
        <v>100</v>
      </c>
      <c r="J13" s="26">
        <f>G13*D13</f>
        <v>8</v>
      </c>
      <c r="K13" s="26">
        <f>H13*D13</f>
        <v>32</v>
      </c>
      <c r="L13" s="93">
        <f>I13*D13/1024</f>
        <v>0.390625</v>
      </c>
      <c r="M13" s="92"/>
    </row>
    <row r="14" spans="1:13">
      <c r="B14" s="6"/>
      <c r="C14" s="80" t="s">
        <v>68</v>
      </c>
      <c r="D14" s="26">
        <v>2</v>
      </c>
      <c r="E14" s="31" t="s">
        <v>69</v>
      </c>
      <c r="F14" s="31"/>
      <c r="G14" s="32"/>
      <c r="H14" s="26"/>
      <c r="I14" s="26">
        <v>2100</v>
      </c>
      <c r="J14" s="32"/>
      <c r="K14" s="26"/>
      <c r="L14" s="93">
        <f>I14*D14/1024</f>
        <v>4.1015625</v>
      </c>
      <c r="M14" s="92"/>
    </row>
    <row r="15" spans="1:13">
      <c r="B15" s="6"/>
      <c r="C15" s="80"/>
      <c r="D15" s="26"/>
      <c r="E15" s="31"/>
      <c r="F15" s="31"/>
      <c r="G15" s="32"/>
      <c r="H15" s="26"/>
      <c r="I15" s="26"/>
      <c r="J15" s="32"/>
      <c r="K15" s="26"/>
      <c r="L15" s="93"/>
      <c r="M15" s="92"/>
    </row>
    <row r="16" spans="1:13">
      <c r="B16" s="6"/>
      <c r="C16" s="2"/>
      <c r="D16" s="26"/>
      <c r="E16" s="31"/>
      <c r="F16" s="31"/>
      <c r="G16" s="32"/>
      <c r="H16" s="26"/>
      <c r="J16" s="32"/>
      <c r="K16" s="26"/>
      <c r="L16" s="93"/>
      <c r="M16" s="92"/>
    </row>
    <row r="17" spans="2:13">
      <c r="B17" s="7">
        <v>3</v>
      </c>
      <c r="C17" s="84" t="s">
        <v>70</v>
      </c>
      <c r="D17" s="28"/>
      <c r="E17" s="28"/>
      <c r="F17" s="28"/>
      <c r="G17" s="28"/>
      <c r="H17" s="28"/>
      <c r="I17" s="28"/>
      <c r="J17" s="28"/>
      <c r="K17" s="28"/>
      <c r="L17" s="28"/>
      <c r="M17" s="92"/>
    </row>
    <row r="18" spans="2:13">
      <c r="B18" s="6"/>
      <c r="C18" s="35" t="s">
        <v>65</v>
      </c>
      <c r="D18" s="26">
        <v>1</v>
      </c>
      <c r="E18" s="30" t="s">
        <v>66</v>
      </c>
      <c r="F18" s="36"/>
      <c r="G18" s="26">
        <f>G12</f>
        <v>32</v>
      </c>
      <c r="H18" s="26">
        <f>H12</f>
        <v>128</v>
      </c>
      <c r="I18" s="26">
        <v>300</v>
      </c>
      <c r="J18" s="26">
        <f>G18*D18</f>
        <v>32</v>
      </c>
      <c r="K18" s="26">
        <f>H18*D18</f>
        <v>128</v>
      </c>
      <c r="L18" s="93">
        <f>I18*D18/1024</f>
        <v>0.29296875</v>
      </c>
      <c r="M18" s="92"/>
    </row>
    <row r="19" spans="2:13">
      <c r="B19" s="6"/>
      <c r="C19" s="80" t="s">
        <v>68</v>
      </c>
      <c r="D19" s="26">
        <v>1</v>
      </c>
      <c r="E19" s="31" t="s">
        <v>69</v>
      </c>
      <c r="F19" s="31"/>
      <c r="G19" s="32"/>
      <c r="H19" s="26"/>
      <c r="I19" s="26">
        <f>I14</f>
        <v>2100</v>
      </c>
      <c r="J19" s="32"/>
      <c r="K19" s="26"/>
      <c r="L19" s="93">
        <f>I19*D19/1024</f>
        <v>2.05078125</v>
      </c>
      <c r="M19" s="92"/>
    </row>
    <row r="20" spans="2:13">
      <c r="B20" s="6"/>
      <c r="C20" s="2"/>
      <c r="D20" s="26"/>
      <c r="E20" s="31"/>
      <c r="F20" s="31"/>
      <c r="G20" s="32"/>
      <c r="H20" s="26"/>
      <c r="I20" s="26"/>
      <c r="J20" s="32"/>
      <c r="K20" s="26"/>
      <c r="L20" s="93"/>
      <c r="M20" s="92"/>
    </row>
    <row r="21" spans="2:13">
      <c r="B21" s="6"/>
      <c r="C21" s="80"/>
      <c r="D21" s="26"/>
      <c r="E21" s="31"/>
      <c r="F21" s="31"/>
      <c r="G21" s="32"/>
      <c r="H21" s="26"/>
      <c r="I21" s="26"/>
      <c r="J21" s="32"/>
      <c r="K21" s="26"/>
      <c r="L21" s="93"/>
      <c r="M21" s="92"/>
    </row>
    <row r="22" spans="2:13">
      <c r="B22" s="6"/>
      <c r="C22" s="80"/>
      <c r="D22" s="26"/>
      <c r="E22" s="31"/>
      <c r="F22" s="31"/>
      <c r="G22" s="32"/>
      <c r="H22" s="26"/>
      <c r="I22" s="26"/>
      <c r="J22" s="32"/>
      <c r="K22" s="26"/>
      <c r="L22" s="93"/>
      <c r="M22" s="92"/>
    </row>
    <row r="23" spans="2:13">
      <c r="B23" s="7">
        <v>4</v>
      </c>
      <c r="C23" s="16" t="s">
        <v>71</v>
      </c>
      <c r="D23" s="28"/>
      <c r="E23" s="28"/>
      <c r="F23" s="28"/>
      <c r="G23" s="28"/>
      <c r="H23" s="28"/>
      <c r="I23" s="28"/>
      <c r="J23" s="28"/>
      <c r="K23" s="28"/>
      <c r="L23" s="93"/>
    </row>
    <row r="24" spans="2:13">
      <c r="B24" s="6"/>
      <c r="C24" s="2" t="s">
        <v>72</v>
      </c>
      <c r="D24" s="26">
        <v>1</v>
      </c>
      <c r="E24" s="30" t="s">
        <v>73</v>
      </c>
      <c r="F24" s="36" t="s">
        <v>74</v>
      </c>
      <c r="G24" s="26"/>
      <c r="H24" s="26"/>
      <c r="I24" s="26">
        <v>5900</v>
      </c>
      <c r="J24" s="26"/>
      <c r="K24" s="26"/>
      <c r="L24" s="93">
        <f t="shared" ref="L24:L36" si="6">I24*D24/1024</f>
        <v>5.76171875</v>
      </c>
    </row>
    <row r="25" spans="2:13">
      <c r="B25" s="6"/>
      <c r="C25" s="1"/>
      <c r="D25" s="26"/>
      <c r="E25" s="30"/>
      <c r="F25" s="30"/>
      <c r="G25" s="26"/>
      <c r="H25" s="26"/>
      <c r="I25" s="26"/>
      <c r="J25" s="26"/>
      <c r="K25" s="26"/>
      <c r="L25" s="93"/>
    </row>
    <row r="26" spans="2:13">
      <c r="B26" s="7">
        <v>5</v>
      </c>
      <c r="C26" s="16" t="s">
        <v>75</v>
      </c>
      <c r="D26" s="28"/>
      <c r="E26" s="28"/>
      <c r="F26" s="28"/>
      <c r="G26" s="28"/>
      <c r="H26" s="28"/>
      <c r="I26" s="28"/>
      <c r="J26" s="28"/>
      <c r="K26" s="28"/>
      <c r="L26" s="93"/>
    </row>
    <row r="27" spans="2:13">
      <c r="B27" s="6"/>
      <c r="C27" s="2" t="s">
        <v>76</v>
      </c>
      <c r="D27" s="26">
        <v>2</v>
      </c>
      <c r="E27" s="30"/>
      <c r="F27" s="79" t="s">
        <v>60</v>
      </c>
      <c r="G27" s="26">
        <v>4</v>
      </c>
      <c r="H27" s="77">
        <v>16</v>
      </c>
      <c r="I27" s="77"/>
      <c r="J27" s="26">
        <f>G27*D27</f>
        <v>8</v>
      </c>
      <c r="K27" s="26">
        <f>H27*D27</f>
        <v>32</v>
      </c>
      <c r="L27" s="93"/>
    </row>
    <row r="28" spans="2:13">
      <c r="B28" s="6"/>
      <c r="C28" s="3"/>
      <c r="D28" s="26"/>
      <c r="E28" s="30"/>
      <c r="F28" s="30"/>
      <c r="G28" s="26"/>
      <c r="H28" s="26"/>
      <c r="I28" s="26"/>
      <c r="J28" s="26"/>
      <c r="K28" s="26"/>
      <c r="L28" s="93"/>
    </row>
    <row r="29" spans="2:13">
      <c r="B29" s="7">
        <v>6</v>
      </c>
      <c r="C29" s="16" t="s">
        <v>77</v>
      </c>
      <c r="D29" s="28"/>
      <c r="E29" s="28"/>
      <c r="F29" s="28"/>
      <c r="G29" s="28"/>
      <c r="H29" s="28"/>
      <c r="I29" s="28"/>
      <c r="J29" s="28"/>
      <c r="K29" s="28"/>
      <c r="L29" s="93"/>
    </row>
    <row r="30" spans="2:13" s="5" customFormat="1">
      <c r="B30" s="6"/>
      <c r="C30" s="17" t="s">
        <v>78</v>
      </c>
      <c r="D30" s="26">
        <v>2</v>
      </c>
      <c r="E30" s="33"/>
      <c r="F30" s="33"/>
      <c r="G30" s="26"/>
      <c r="H30" s="26"/>
      <c r="I30" s="26"/>
      <c r="J30" s="26"/>
      <c r="K30" s="26"/>
      <c r="L30" s="93"/>
    </row>
    <row r="31" spans="2:13">
      <c r="B31" s="6"/>
      <c r="C31" s="2" t="s">
        <v>79</v>
      </c>
      <c r="D31" s="26">
        <v>5</v>
      </c>
      <c r="E31" s="30"/>
      <c r="F31" s="30"/>
      <c r="G31" s="26"/>
      <c r="H31" s="26"/>
      <c r="I31" s="26"/>
      <c r="J31" s="26"/>
      <c r="K31" s="26"/>
      <c r="L31" s="93"/>
    </row>
    <row r="32" spans="2:13">
      <c r="B32" s="6"/>
      <c r="C32" s="2" t="s">
        <v>80</v>
      </c>
      <c r="D32" s="26">
        <v>1</v>
      </c>
      <c r="E32" s="29" t="s">
        <v>81</v>
      </c>
      <c r="F32" s="29"/>
      <c r="G32" s="26"/>
      <c r="H32" s="26"/>
      <c r="I32" s="26"/>
      <c r="J32" s="26"/>
      <c r="K32" s="26"/>
      <c r="L32" s="93"/>
    </row>
    <row r="33" spans="2:13">
      <c r="B33" s="6"/>
      <c r="C33" s="2" t="s">
        <v>82</v>
      </c>
      <c r="D33" s="26">
        <v>1</v>
      </c>
      <c r="E33" s="29" t="s">
        <v>83</v>
      </c>
      <c r="F33" s="29" t="s">
        <v>74</v>
      </c>
      <c r="G33" s="26"/>
      <c r="H33" s="26"/>
      <c r="I33" s="26">
        <v>512</v>
      </c>
      <c r="J33" s="26"/>
      <c r="K33" s="26"/>
      <c r="L33" s="93">
        <f t="shared" si="6"/>
        <v>0.5</v>
      </c>
    </row>
    <row r="34" spans="2:13">
      <c r="B34" s="6"/>
      <c r="C34" s="2" t="s">
        <v>84</v>
      </c>
      <c r="D34" s="26">
        <v>2</v>
      </c>
      <c r="E34" s="29"/>
      <c r="F34" s="29"/>
      <c r="G34" s="26"/>
      <c r="H34" s="26"/>
      <c r="I34" s="26"/>
      <c r="J34" s="26"/>
      <c r="K34" s="26"/>
      <c r="L34" s="93"/>
    </row>
    <row r="35" spans="2:13">
      <c r="B35" s="6"/>
      <c r="C35" s="2" t="s">
        <v>85</v>
      </c>
      <c r="D35" s="26">
        <v>1</v>
      </c>
      <c r="E35" s="29"/>
      <c r="F35" s="29"/>
      <c r="G35" s="26"/>
      <c r="H35" s="26"/>
      <c r="I35" s="26"/>
      <c r="J35" s="26"/>
      <c r="K35" s="77"/>
      <c r="L35" s="93"/>
    </row>
    <row r="36" spans="2:13">
      <c r="B36" s="5"/>
      <c r="C36" s="2" t="s">
        <v>86</v>
      </c>
      <c r="D36" s="26">
        <v>1</v>
      </c>
      <c r="E36" s="29" t="s">
        <v>87</v>
      </c>
      <c r="F36" s="79" t="s">
        <v>60</v>
      </c>
      <c r="G36" s="26">
        <v>2</v>
      </c>
      <c r="H36" s="26">
        <v>4</v>
      </c>
      <c r="I36" s="26">
        <v>300</v>
      </c>
      <c r="J36" s="26">
        <f>G36*D36</f>
        <v>2</v>
      </c>
      <c r="K36" s="77">
        <v>4</v>
      </c>
      <c r="L36" s="93">
        <f t="shared" si="6"/>
        <v>0.29296875</v>
      </c>
    </row>
    <row r="37" spans="2:13">
      <c r="B37" s="5"/>
      <c r="C37" s="2" t="s">
        <v>88</v>
      </c>
      <c r="D37" s="26">
        <v>1</v>
      </c>
      <c r="E37" s="29"/>
      <c r="F37" s="29"/>
      <c r="G37" s="26"/>
      <c r="H37" s="26"/>
      <c r="I37" s="26"/>
      <c r="J37" s="26"/>
      <c r="K37" s="77"/>
      <c r="L37" s="77"/>
    </row>
    <row r="38" spans="2:13">
      <c r="B38" s="6"/>
      <c r="C38" s="2" t="s">
        <v>89</v>
      </c>
      <c r="D38" s="26">
        <v>1</v>
      </c>
      <c r="E38" s="29"/>
      <c r="F38" s="29"/>
      <c r="G38" s="26"/>
      <c r="H38" s="26"/>
      <c r="I38" s="26"/>
      <c r="J38" s="26"/>
      <c r="K38" s="77"/>
      <c r="L38" s="77"/>
    </row>
    <row r="39" spans="2:13">
      <c r="B39" s="6"/>
      <c r="C39" s="80" t="s">
        <v>90</v>
      </c>
      <c r="D39" s="74">
        <v>1</v>
      </c>
      <c r="E39" s="75"/>
      <c r="F39" s="75"/>
      <c r="G39" s="74"/>
      <c r="H39" s="74"/>
      <c r="I39" s="74"/>
      <c r="J39" s="74"/>
      <c r="K39" s="88"/>
      <c r="L39" s="88"/>
    </row>
    <row r="40" spans="2:13">
      <c r="B40" s="6"/>
      <c r="C40" s="80" t="s">
        <v>91</v>
      </c>
      <c r="D40" s="74">
        <v>1</v>
      </c>
      <c r="E40" s="75"/>
      <c r="F40" s="75"/>
      <c r="G40" s="74"/>
      <c r="H40" s="74"/>
      <c r="I40" s="74"/>
      <c r="J40" s="74"/>
      <c r="K40" s="88"/>
      <c r="L40" s="88"/>
    </row>
    <row r="41" spans="2:13">
      <c r="B41" s="6"/>
      <c r="C41" s="80" t="s">
        <v>92</v>
      </c>
      <c r="D41" s="74">
        <v>1</v>
      </c>
      <c r="E41" s="75"/>
      <c r="F41" s="75"/>
      <c r="G41" s="74"/>
      <c r="H41" s="74"/>
      <c r="I41" s="74"/>
      <c r="J41" s="74"/>
      <c r="K41" s="88"/>
      <c r="L41" s="88"/>
    </row>
    <row r="42" spans="2:13">
      <c r="B42" s="6"/>
      <c r="C42" s="80" t="s">
        <v>93</v>
      </c>
      <c r="D42" s="74">
        <v>1</v>
      </c>
      <c r="E42" s="75"/>
      <c r="F42" s="75"/>
      <c r="G42" s="74"/>
      <c r="H42" s="74"/>
      <c r="I42" s="74"/>
      <c r="J42" s="74"/>
      <c r="K42" s="88"/>
      <c r="L42" s="88"/>
    </row>
    <row r="43" spans="2:13" ht="15.75" customHeight="1">
      <c r="B43" s="6"/>
      <c r="C43" s="2" t="s">
        <v>94</v>
      </c>
      <c r="D43" s="74">
        <v>1</v>
      </c>
      <c r="E43" s="75"/>
      <c r="F43" s="75"/>
      <c r="G43" s="74"/>
      <c r="H43" s="74"/>
      <c r="I43" s="74"/>
      <c r="J43" s="74"/>
      <c r="K43" s="88"/>
      <c r="L43" s="88"/>
    </row>
    <row r="44" spans="2:13">
      <c r="B44" s="6"/>
      <c r="C44" s="2" t="s">
        <v>95</v>
      </c>
      <c r="D44" s="26">
        <v>1</v>
      </c>
      <c r="E44" s="29"/>
      <c r="F44" s="29"/>
      <c r="G44" s="26"/>
      <c r="H44" s="26"/>
      <c r="I44" s="26"/>
      <c r="J44" s="26"/>
      <c r="K44" s="77"/>
      <c r="L44" s="77"/>
    </row>
    <row r="45" spans="2:13">
      <c r="B45" s="6"/>
      <c r="C45" s="2" t="s">
        <v>96</v>
      </c>
      <c r="D45" s="26">
        <v>1</v>
      </c>
      <c r="E45" s="29"/>
      <c r="F45" s="29"/>
      <c r="G45" s="26"/>
      <c r="H45" s="26"/>
      <c r="I45" s="26"/>
      <c r="J45" s="26"/>
      <c r="K45" s="77"/>
      <c r="L45" s="77"/>
    </row>
    <row r="46" spans="2:13">
      <c r="B46" s="6"/>
      <c r="C46" s="2" t="s">
        <v>97</v>
      </c>
      <c r="D46" s="26">
        <v>1</v>
      </c>
      <c r="E46" s="29" t="s">
        <v>98</v>
      </c>
      <c r="F46" s="29"/>
      <c r="G46" s="26"/>
      <c r="H46" s="26"/>
      <c r="I46" s="26"/>
      <c r="J46" s="26"/>
      <c r="K46" s="77"/>
      <c r="L46" s="77"/>
    </row>
    <row r="47" spans="2:13">
      <c r="B47" s="6"/>
      <c r="C47" s="70" t="s">
        <v>99</v>
      </c>
      <c r="D47" s="26">
        <v>1</v>
      </c>
      <c r="E47" s="30" t="s">
        <v>73</v>
      </c>
      <c r="F47" s="30"/>
      <c r="G47" s="26"/>
      <c r="H47" s="26"/>
      <c r="I47" s="26">
        <v>5120</v>
      </c>
      <c r="J47" s="26"/>
      <c r="K47" s="77"/>
      <c r="L47" s="94">
        <f>I47*D47/1024</f>
        <v>5</v>
      </c>
      <c r="M47" s="95" t="s">
        <v>100</v>
      </c>
    </row>
    <row r="48" spans="2:13">
      <c r="B48" s="6"/>
      <c r="C48" s="2"/>
      <c r="D48" s="69"/>
      <c r="E48" s="71"/>
      <c r="F48" s="29"/>
      <c r="G48" s="72"/>
      <c r="H48" s="69"/>
      <c r="I48" s="69"/>
      <c r="J48" s="72"/>
      <c r="K48" s="89"/>
      <c r="L48" s="90"/>
    </row>
    <row r="49" spans="2:12">
      <c r="B49" s="6"/>
    </row>
    <row r="51" spans="2:12">
      <c r="C51" s="91"/>
    </row>
    <row r="54" spans="2:12">
      <c r="L54" s="99">
        <v>164221.56</v>
      </c>
    </row>
    <row r="55" spans="2:12">
      <c r="C55" s="87"/>
      <c r="L55" s="76" t="s">
        <v>101</v>
      </c>
    </row>
    <row r="57" spans="2:12">
      <c r="C57" s="76"/>
    </row>
    <row r="58" spans="2:12">
      <c r="B58" s="4"/>
      <c r="C58" s="6"/>
      <c r="E58" s="6"/>
      <c r="F58" s="6"/>
      <c r="I58"/>
      <c r="J58"/>
      <c r="K58"/>
      <c r="L58"/>
    </row>
    <row r="59" spans="2:12">
      <c r="B59" s="4"/>
      <c r="C59" s="6"/>
      <c r="E59" s="6"/>
      <c r="F59" s="6"/>
      <c r="I59"/>
      <c r="J59"/>
      <c r="K59"/>
      <c r="L59"/>
    </row>
    <row r="60" spans="2:12">
      <c r="B60" s="4"/>
      <c r="C60" s="6"/>
      <c r="E60" s="6"/>
      <c r="F60" s="6"/>
      <c r="I60"/>
      <c r="J60"/>
      <c r="K60"/>
      <c r="L60"/>
    </row>
    <row r="61" spans="2:12">
      <c r="B61" s="4"/>
      <c r="C61" s="6"/>
      <c r="E61" s="6"/>
      <c r="F61" s="6"/>
      <c r="I61"/>
      <c r="J61"/>
      <c r="K61"/>
      <c r="L61"/>
    </row>
    <row r="62" spans="2:12">
      <c r="B62" s="4"/>
      <c r="C62" s="6"/>
      <c r="E62" s="6"/>
      <c r="F62" s="6"/>
      <c r="I62"/>
      <c r="J62"/>
      <c r="K62"/>
      <c r="L62"/>
    </row>
    <row r="63" spans="2:12">
      <c r="B63" s="4"/>
      <c r="C63" s="6"/>
      <c r="E63" s="6"/>
      <c r="F63" s="6"/>
      <c r="I63"/>
      <c r="J63"/>
      <c r="K63"/>
      <c r="L63"/>
    </row>
    <row r="64" spans="2:12">
      <c r="B64" s="4"/>
      <c r="C64" s="6"/>
      <c r="E64" s="6"/>
      <c r="F64" s="6"/>
      <c r="I64"/>
      <c r="J64"/>
      <c r="K64"/>
      <c r="L64"/>
    </row>
    <row r="65" spans="2:12">
      <c r="B65" s="4"/>
      <c r="C65" s="6"/>
      <c r="E65" s="6"/>
      <c r="F65" s="6"/>
      <c r="I65"/>
      <c r="J65"/>
      <c r="K65"/>
      <c r="L65"/>
    </row>
    <row r="66" spans="2:12">
      <c r="B66" s="4"/>
      <c r="C66" s="6"/>
      <c r="E66" s="6"/>
      <c r="F66" s="6"/>
      <c r="I66"/>
      <c r="J66"/>
      <c r="K66"/>
      <c r="L66"/>
    </row>
    <row r="67" spans="2:12">
      <c r="B67" s="4"/>
      <c r="C67" s="6"/>
      <c r="E67" s="6"/>
      <c r="F67" s="6"/>
      <c r="I67"/>
      <c r="J67"/>
      <c r="K67"/>
      <c r="L67"/>
    </row>
    <row r="68" spans="2:12">
      <c r="B68" s="4"/>
      <c r="C68" s="6"/>
      <c r="E68" s="6"/>
      <c r="F68" s="6"/>
      <c r="I68"/>
      <c r="J68"/>
      <c r="K68"/>
      <c r="L68"/>
    </row>
    <row r="69" spans="2:12">
      <c r="B69" s="4"/>
      <c r="C69" s="6"/>
      <c r="E69" s="6"/>
      <c r="F69" s="6"/>
      <c r="I69"/>
      <c r="J69"/>
      <c r="K69"/>
      <c r="L6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E21D9-72B8-4C5A-8434-B607DEDF08D4}">
  <dimension ref="A1:M69"/>
  <sheetViews>
    <sheetView showGridLines="0" topLeftCell="A2" zoomScale="80" zoomScaleNormal="80" workbookViewId="0">
      <selection activeCell="I13" sqref="I13"/>
    </sheetView>
  </sheetViews>
  <sheetFormatPr defaultRowHeight="14.45"/>
  <cols>
    <col min="2" max="2" width="7.5703125" customWidth="1"/>
    <col min="3" max="3" width="82.42578125" customWidth="1"/>
    <col min="4" max="4" width="25.28515625" style="6" customWidth="1"/>
    <col min="5" max="5" width="20.42578125" style="4" bestFit="1" customWidth="1"/>
    <col min="6" max="6" width="25.28515625" style="4" customWidth="1"/>
    <col min="7" max="8" width="9.28515625" style="6" bestFit="1" customWidth="1"/>
    <col min="9" max="9" width="14" style="6" customWidth="1"/>
    <col min="10" max="10" width="8.42578125" style="6" bestFit="1" customWidth="1"/>
    <col min="11" max="11" width="8.42578125" style="6" customWidth="1"/>
    <col min="12" max="12" width="18.7109375" style="6" customWidth="1"/>
    <col min="13" max="13" width="18.42578125" customWidth="1"/>
    <col min="14" max="14" width="17.7109375" customWidth="1"/>
    <col min="15" max="15" width="16.28515625" bestFit="1" customWidth="1"/>
    <col min="16" max="16" width="23.7109375" customWidth="1"/>
    <col min="17" max="17" width="31" customWidth="1"/>
    <col min="19" max="19" width="27.5703125" customWidth="1"/>
    <col min="20" max="20" width="14" bestFit="1" customWidth="1"/>
    <col min="21" max="21" width="16.28515625" bestFit="1" customWidth="1"/>
    <col min="22" max="22" width="21.42578125" bestFit="1" customWidth="1"/>
    <col min="23" max="23" width="24.42578125" bestFit="1" customWidth="1"/>
  </cols>
  <sheetData>
    <row r="1" spans="1:13" ht="18">
      <c r="B1" s="8"/>
    </row>
    <row r="2" spans="1:13" ht="18">
      <c r="D2" s="9" t="s">
        <v>43</v>
      </c>
      <c r="E2" s="9"/>
      <c r="F2" s="9"/>
      <c r="G2" s="9"/>
      <c r="H2" s="9"/>
      <c r="I2" s="9"/>
      <c r="J2" s="9"/>
      <c r="K2" s="9"/>
      <c r="L2" s="9"/>
    </row>
    <row r="3" spans="1:13" ht="15.6">
      <c r="B3" s="10"/>
      <c r="C3" s="11"/>
      <c r="D3" s="12"/>
      <c r="E3" s="13"/>
      <c r="F3" s="13"/>
      <c r="G3" s="12"/>
      <c r="H3" s="12"/>
      <c r="I3" s="12"/>
      <c r="J3" s="12"/>
      <c r="K3" s="12"/>
      <c r="L3" s="12"/>
    </row>
    <row r="4" spans="1:13" ht="43.15">
      <c r="B4" s="14" t="s">
        <v>44</v>
      </c>
      <c r="C4" s="15" t="s">
        <v>45</v>
      </c>
      <c r="D4" s="22" t="s">
        <v>46</v>
      </c>
      <c r="E4" s="23" t="s">
        <v>47</v>
      </c>
      <c r="F4" s="23" t="s">
        <v>48</v>
      </c>
      <c r="G4" s="23" t="s">
        <v>49</v>
      </c>
      <c r="H4" s="23" t="s">
        <v>50</v>
      </c>
      <c r="I4" s="23" t="s">
        <v>51</v>
      </c>
      <c r="J4" s="34" t="s">
        <v>52</v>
      </c>
      <c r="K4" s="34" t="s">
        <v>53</v>
      </c>
      <c r="L4" s="34" t="s">
        <v>54</v>
      </c>
    </row>
    <row r="5" spans="1:13">
      <c r="B5" s="21">
        <v>1</v>
      </c>
      <c r="C5" s="20" t="s">
        <v>55</v>
      </c>
      <c r="D5" s="24"/>
      <c r="E5" s="25"/>
      <c r="F5" s="25"/>
      <c r="G5" s="24"/>
      <c r="H5" s="24"/>
      <c r="I5" s="24"/>
      <c r="J5" s="24"/>
      <c r="K5" s="24"/>
      <c r="L5" s="24"/>
    </row>
    <row r="6" spans="1:13">
      <c r="B6" s="18"/>
      <c r="C6" s="19" t="s">
        <v>56</v>
      </c>
      <c r="D6" s="26">
        <v>1</v>
      </c>
      <c r="E6" s="27" t="s">
        <v>57</v>
      </c>
      <c r="F6" s="27"/>
      <c r="G6" s="24"/>
      <c r="H6" s="24"/>
      <c r="I6" s="24"/>
      <c r="J6" s="24"/>
      <c r="K6" s="24"/>
      <c r="L6" s="24"/>
    </row>
    <row r="7" spans="1:13">
      <c r="B7" s="6"/>
      <c r="C7" s="2" t="s">
        <v>58</v>
      </c>
      <c r="D7" s="77">
        <v>4</v>
      </c>
      <c r="E7" s="78" t="s">
        <v>59</v>
      </c>
      <c r="F7" s="79" t="s">
        <v>60</v>
      </c>
      <c r="G7" s="77">
        <v>16</v>
      </c>
      <c r="H7" s="77">
        <v>32</v>
      </c>
      <c r="I7" s="26">
        <v>256</v>
      </c>
      <c r="J7" s="26">
        <f t="shared" ref="J7:J9" si="0">G7*D7</f>
        <v>64</v>
      </c>
      <c r="K7" s="26">
        <f t="shared" ref="K7:K9" si="1">H7*D7</f>
        <v>128</v>
      </c>
      <c r="L7" s="93">
        <f>I7*D7/1024</f>
        <v>1</v>
      </c>
    </row>
    <row r="8" spans="1:13">
      <c r="B8" s="6"/>
      <c r="C8" s="2" t="s">
        <v>61</v>
      </c>
      <c r="D8" s="26">
        <v>2</v>
      </c>
      <c r="E8" s="29" t="s">
        <v>59</v>
      </c>
      <c r="F8" s="79" t="s">
        <v>60</v>
      </c>
      <c r="G8" s="26">
        <v>8</v>
      </c>
      <c r="H8" s="26">
        <v>16</v>
      </c>
      <c r="I8" s="26">
        <v>512</v>
      </c>
      <c r="J8" s="26">
        <f t="shared" si="0"/>
        <v>16</v>
      </c>
      <c r="K8" s="26">
        <f t="shared" si="1"/>
        <v>32</v>
      </c>
      <c r="L8" s="93">
        <f>I8*D8/1024</f>
        <v>1</v>
      </c>
    </row>
    <row r="9" spans="1:13">
      <c r="A9" t="s">
        <v>62</v>
      </c>
      <c r="B9" s="6"/>
      <c r="C9" s="2" t="s">
        <v>63</v>
      </c>
      <c r="D9" s="26">
        <v>2</v>
      </c>
      <c r="E9" s="29" t="s">
        <v>59</v>
      </c>
      <c r="F9" s="79" t="s">
        <v>60</v>
      </c>
      <c r="G9" s="26">
        <v>8</v>
      </c>
      <c r="H9" s="26">
        <v>16</v>
      </c>
      <c r="I9" s="26">
        <v>1024</v>
      </c>
      <c r="J9" s="26">
        <f t="shared" si="0"/>
        <v>16</v>
      </c>
      <c r="K9" s="26">
        <f t="shared" si="1"/>
        <v>32</v>
      </c>
      <c r="L9" s="93">
        <f>I9*D9/1024</f>
        <v>2</v>
      </c>
    </row>
    <row r="10" spans="1:13" ht="13.5" customHeight="1">
      <c r="B10" s="6"/>
      <c r="C10" s="2"/>
      <c r="D10" s="26"/>
      <c r="E10" s="29"/>
      <c r="F10" s="79"/>
      <c r="G10" s="26"/>
      <c r="H10" s="26"/>
      <c r="I10" s="26"/>
      <c r="J10" s="26"/>
      <c r="K10" s="26"/>
      <c r="L10" s="26"/>
    </row>
    <row r="11" spans="1:13">
      <c r="B11" s="7">
        <v>2</v>
      </c>
      <c r="C11" s="84" t="s">
        <v>64</v>
      </c>
      <c r="D11" s="28"/>
      <c r="E11" s="28"/>
      <c r="F11" s="28"/>
      <c r="G11" s="28"/>
      <c r="H11" s="28"/>
      <c r="I11" s="28"/>
      <c r="J11" s="28"/>
      <c r="K11" s="28"/>
      <c r="L11" s="28"/>
      <c r="M11" s="92"/>
    </row>
    <row r="12" spans="1:13">
      <c r="B12" s="6"/>
      <c r="C12" s="35" t="s">
        <v>65</v>
      </c>
      <c r="D12" s="26">
        <v>2</v>
      </c>
      <c r="E12" s="30" t="s">
        <v>66</v>
      </c>
      <c r="F12" s="36"/>
      <c r="G12" s="26">
        <v>32</v>
      </c>
      <c r="H12" s="26">
        <v>128</v>
      </c>
      <c r="I12" s="26">
        <v>300</v>
      </c>
      <c r="J12" s="26">
        <f>G12*D12</f>
        <v>64</v>
      </c>
      <c r="K12" s="26">
        <f>H12*D12</f>
        <v>256</v>
      </c>
      <c r="L12" s="93">
        <f>I12*D12/1024</f>
        <v>0.5859375</v>
      </c>
      <c r="M12" s="92"/>
    </row>
    <row r="13" spans="1:13">
      <c r="B13" s="6"/>
      <c r="C13" s="35" t="s">
        <v>67</v>
      </c>
      <c r="D13" s="26">
        <v>4</v>
      </c>
      <c r="E13" s="30" t="s">
        <v>66</v>
      </c>
      <c r="F13" s="36"/>
      <c r="G13" s="26">
        <v>2</v>
      </c>
      <c r="H13" s="26">
        <v>8</v>
      </c>
      <c r="I13" s="26">
        <v>100</v>
      </c>
      <c r="J13" s="26">
        <f>G13*D13</f>
        <v>8</v>
      </c>
      <c r="K13" s="26">
        <f>H13*D13</f>
        <v>32</v>
      </c>
      <c r="L13" s="93">
        <f>I13*D13/1024</f>
        <v>0.390625</v>
      </c>
      <c r="M13" s="92"/>
    </row>
    <row r="14" spans="1:13">
      <c r="B14" s="6"/>
      <c r="C14" s="80" t="s">
        <v>68</v>
      </c>
      <c r="D14" s="26">
        <v>2</v>
      </c>
      <c r="E14" s="31" t="s">
        <v>69</v>
      </c>
      <c r="F14" s="31"/>
      <c r="G14" s="32"/>
      <c r="H14" s="26"/>
      <c r="I14" s="26">
        <v>2300</v>
      </c>
      <c r="J14" s="32"/>
      <c r="K14" s="26"/>
      <c r="L14" s="93">
        <f>I14*D14/1024</f>
        <v>4.4921875</v>
      </c>
      <c r="M14" s="92"/>
    </row>
    <row r="15" spans="1:13">
      <c r="B15" s="6"/>
      <c r="C15" s="80"/>
      <c r="D15" s="26"/>
      <c r="E15" s="31"/>
      <c r="F15" s="31"/>
      <c r="G15" s="32"/>
      <c r="H15" s="26"/>
      <c r="I15" s="26"/>
      <c r="J15" s="32"/>
      <c r="K15" s="26"/>
      <c r="L15" s="93"/>
      <c r="M15" s="92"/>
    </row>
    <row r="16" spans="1:13">
      <c r="B16" s="6"/>
      <c r="C16" s="2"/>
      <c r="D16" s="26"/>
      <c r="E16" s="31"/>
      <c r="F16" s="31"/>
      <c r="G16" s="32"/>
      <c r="H16" s="26"/>
      <c r="J16" s="32"/>
      <c r="K16" s="26"/>
      <c r="L16" s="93"/>
      <c r="M16" s="92"/>
    </row>
    <row r="17" spans="2:13">
      <c r="B17" s="7">
        <v>3</v>
      </c>
      <c r="C17" s="84" t="s">
        <v>70</v>
      </c>
      <c r="D17" s="28"/>
      <c r="E17" s="28"/>
      <c r="F17" s="28"/>
      <c r="G17" s="28"/>
      <c r="H17" s="28"/>
      <c r="I17" s="28"/>
      <c r="J17" s="28"/>
      <c r="K17" s="28"/>
      <c r="L17" s="28"/>
      <c r="M17" s="92"/>
    </row>
    <row r="18" spans="2:13">
      <c r="B18" s="6"/>
      <c r="C18" s="35" t="s">
        <v>65</v>
      </c>
      <c r="D18" s="26">
        <v>1</v>
      </c>
      <c r="E18" s="30" t="s">
        <v>66</v>
      </c>
      <c r="F18" s="36"/>
      <c r="G18" s="26">
        <f>G12</f>
        <v>32</v>
      </c>
      <c r="H18" s="26">
        <f>H12</f>
        <v>128</v>
      </c>
      <c r="I18" s="26">
        <v>300</v>
      </c>
      <c r="J18" s="26">
        <f>G18*D18</f>
        <v>32</v>
      </c>
      <c r="K18" s="26">
        <f>H18*D18</f>
        <v>128</v>
      </c>
      <c r="L18" s="93">
        <f>I18*D18/1024</f>
        <v>0.29296875</v>
      </c>
      <c r="M18" s="92"/>
    </row>
    <row r="19" spans="2:13">
      <c r="B19" s="6"/>
      <c r="C19" s="80" t="s">
        <v>68</v>
      </c>
      <c r="D19" s="26">
        <v>1</v>
      </c>
      <c r="E19" s="31" t="s">
        <v>69</v>
      </c>
      <c r="F19" s="31"/>
      <c r="G19" s="32"/>
      <c r="H19" s="26"/>
      <c r="I19" s="26">
        <f>I14</f>
        <v>2300</v>
      </c>
      <c r="J19" s="32"/>
      <c r="K19" s="26"/>
      <c r="L19" s="93">
        <f>I19*D19/1024</f>
        <v>2.24609375</v>
      </c>
      <c r="M19" s="92"/>
    </row>
    <row r="20" spans="2:13">
      <c r="B20" s="6"/>
      <c r="C20" s="2"/>
      <c r="D20" s="26"/>
      <c r="E20" s="31"/>
      <c r="F20" s="31"/>
      <c r="G20" s="32"/>
      <c r="H20" s="26"/>
      <c r="I20" s="26"/>
      <c r="J20" s="32"/>
      <c r="K20" s="26"/>
      <c r="L20" s="93"/>
      <c r="M20" s="92"/>
    </row>
    <row r="21" spans="2:13">
      <c r="B21" s="6"/>
      <c r="C21" s="80"/>
      <c r="D21" s="26"/>
      <c r="E21" s="31"/>
      <c r="F21" s="31"/>
      <c r="G21" s="32"/>
      <c r="H21" s="26"/>
      <c r="I21" s="26"/>
      <c r="J21" s="32"/>
      <c r="K21" s="26"/>
      <c r="L21" s="93"/>
      <c r="M21" s="92"/>
    </row>
    <row r="22" spans="2:13">
      <c r="B22" s="6"/>
      <c r="C22" s="80"/>
      <c r="D22" s="26"/>
      <c r="E22" s="31"/>
      <c r="F22" s="31"/>
      <c r="G22" s="32"/>
      <c r="H22" s="26"/>
      <c r="I22" s="26"/>
      <c r="J22" s="32"/>
      <c r="K22" s="26"/>
      <c r="L22" s="93"/>
      <c r="M22" s="92"/>
    </row>
    <row r="23" spans="2:13">
      <c r="B23" s="7">
        <v>4</v>
      </c>
      <c r="C23" s="16" t="s">
        <v>71</v>
      </c>
      <c r="D23" s="28"/>
      <c r="E23" s="28"/>
      <c r="F23" s="28"/>
      <c r="G23" s="28"/>
      <c r="H23" s="28"/>
      <c r="I23" s="28"/>
      <c r="J23" s="28"/>
      <c r="K23" s="28"/>
      <c r="L23" s="93"/>
    </row>
    <row r="24" spans="2:13">
      <c r="B24" s="6"/>
      <c r="C24" s="2" t="s">
        <v>72</v>
      </c>
      <c r="D24" s="26">
        <v>1</v>
      </c>
      <c r="E24" s="30" t="s">
        <v>73</v>
      </c>
      <c r="F24" s="36" t="s">
        <v>74</v>
      </c>
      <c r="G24" s="26"/>
      <c r="H24" s="26"/>
      <c r="I24" s="26">
        <v>6500</v>
      </c>
      <c r="J24" s="26"/>
      <c r="K24" s="26"/>
      <c r="L24" s="93">
        <f t="shared" ref="L24:L36" si="2">I24*D24/1024</f>
        <v>6.34765625</v>
      </c>
    </row>
    <row r="25" spans="2:13">
      <c r="B25" s="6"/>
      <c r="C25" s="1"/>
      <c r="D25" s="26"/>
      <c r="E25" s="30"/>
      <c r="F25" s="30"/>
      <c r="G25" s="26"/>
      <c r="H25" s="26"/>
      <c r="I25" s="26"/>
      <c r="J25" s="26"/>
      <c r="K25" s="26"/>
      <c r="L25" s="93"/>
    </row>
    <row r="26" spans="2:13">
      <c r="B26" s="7">
        <v>5</v>
      </c>
      <c r="C26" s="16" t="s">
        <v>75</v>
      </c>
      <c r="D26" s="28"/>
      <c r="E26" s="28"/>
      <c r="F26" s="28"/>
      <c r="G26" s="28"/>
      <c r="H26" s="28"/>
      <c r="I26" s="28"/>
      <c r="J26" s="28"/>
      <c r="K26" s="28"/>
      <c r="L26" s="93"/>
    </row>
    <row r="27" spans="2:13">
      <c r="B27" s="6"/>
      <c r="C27" s="2" t="s">
        <v>76</v>
      </c>
      <c r="D27" s="26">
        <v>2</v>
      </c>
      <c r="E27" s="30"/>
      <c r="F27" s="79" t="s">
        <v>60</v>
      </c>
      <c r="G27" s="26">
        <v>4</v>
      </c>
      <c r="H27" s="77">
        <v>16</v>
      </c>
      <c r="I27" s="77"/>
      <c r="J27" s="26">
        <f>G27*D27</f>
        <v>8</v>
      </c>
      <c r="K27" s="26">
        <f>H27*D27</f>
        <v>32</v>
      </c>
      <c r="L27" s="93"/>
    </row>
    <row r="28" spans="2:13">
      <c r="B28" s="6"/>
      <c r="C28" s="3"/>
      <c r="D28" s="26"/>
      <c r="E28" s="30"/>
      <c r="F28" s="30"/>
      <c r="G28" s="26"/>
      <c r="H28" s="26"/>
      <c r="I28" s="26"/>
      <c r="J28" s="26"/>
      <c r="K28" s="26"/>
      <c r="L28" s="93"/>
    </row>
    <row r="29" spans="2:13">
      <c r="B29" s="7">
        <v>6</v>
      </c>
      <c r="C29" s="16" t="s">
        <v>77</v>
      </c>
      <c r="D29" s="28"/>
      <c r="E29" s="28"/>
      <c r="F29" s="28"/>
      <c r="G29" s="28"/>
      <c r="H29" s="28"/>
      <c r="I29" s="28"/>
      <c r="J29" s="28"/>
      <c r="K29" s="28"/>
      <c r="L29" s="93"/>
    </row>
    <row r="30" spans="2:13" s="5" customFormat="1">
      <c r="B30" s="6"/>
      <c r="C30" s="17" t="s">
        <v>78</v>
      </c>
      <c r="D30" s="26">
        <v>2</v>
      </c>
      <c r="E30" s="33"/>
      <c r="F30" s="33"/>
      <c r="G30" s="26"/>
      <c r="H30" s="26"/>
      <c r="I30" s="26"/>
      <c r="J30" s="26"/>
      <c r="K30" s="26"/>
      <c r="L30" s="93"/>
    </row>
    <row r="31" spans="2:13">
      <c r="B31" s="6"/>
      <c r="C31" s="2" t="s">
        <v>79</v>
      </c>
      <c r="D31" s="26">
        <v>5</v>
      </c>
      <c r="E31" s="30"/>
      <c r="F31" s="30"/>
      <c r="G31" s="26"/>
      <c r="H31" s="26"/>
      <c r="I31" s="26"/>
      <c r="J31" s="26"/>
      <c r="K31" s="26"/>
      <c r="L31" s="93"/>
    </row>
    <row r="32" spans="2:13">
      <c r="B32" s="6"/>
      <c r="C32" s="2" t="s">
        <v>80</v>
      </c>
      <c r="D32" s="26">
        <v>1</v>
      </c>
      <c r="E32" s="29" t="s">
        <v>81</v>
      </c>
      <c r="F32" s="29"/>
      <c r="G32" s="26"/>
      <c r="H32" s="26"/>
      <c r="I32" s="26"/>
      <c r="J32" s="26"/>
      <c r="K32" s="26"/>
      <c r="L32" s="93"/>
    </row>
    <row r="33" spans="2:13">
      <c r="B33" s="6"/>
      <c r="C33" s="2" t="s">
        <v>82</v>
      </c>
      <c r="D33" s="26">
        <v>1</v>
      </c>
      <c r="E33" s="29" t="s">
        <v>83</v>
      </c>
      <c r="F33" s="29" t="s">
        <v>74</v>
      </c>
      <c r="G33" s="26"/>
      <c r="H33" s="26"/>
      <c r="I33" s="26">
        <v>512</v>
      </c>
      <c r="J33" s="26"/>
      <c r="K33" s="26"/>
      <c r="L33" s="93">
        <f t="shared" si="2"/>
        <v>0.5</v>
      </c>
    </row>
    <row r="34" spans="2:13">
      <c r="B34" s="6"/>
      <c r="C34" s="2" t="s">
        <v>84</v>
      </c>
      <c r="D34" s="26">
        <v>2</v>
      </c>
      <c r="E34" s="29"/>
      <c r="F34" s="29"/>
      <c r="G34" s="26"/>
      <c r="H34" s="26"/>
      <c r="I34" s="26"/>
      <c r="J34" s="26"/>
      <c r="K34" s="26"/>
      <c r="L34" s="93"/>
    </row>
    <row r="35" spans="2:13">
      <c r="B35" s="6"/>
      <c r="C35" s="2" t="s">
        <v>85</v>
      </c>
      <c r="D35" s="26">
        <v>1</v>
      </c>
      <c r="E35" s="29"/>
      <c r="F35" s="29"/>
      <c r="G35" s="26"/>
      <c r="H35" s="26"/>
      <c r="I35" s="26"/>
      <c r="J35" s="26"/>
      <c r="K35" s="77"/>
      <c r="L35" s="93"/>
    </row>
    <row r="36" spans="2:13">
      <c r="B36" s="5"/>
      <c r="C36" s="2" t="s">
        <v>86</v>
      </c>
      <c r="D36" s="26">
        <v>1</v>
      </c>
      <c r="E36" s="29" t="s">
        <v>87</v>
      </c>
      <c r="F36" s="79" t="s">
        <v>60</v>
      </c>
      <c r="G36" s="26">
        <v>2</v>
      </c>
      <c r="H36" s="26">
        <v>4</v>
      </c>
      <c r="I36" s="26">
        <v>300</v>
      </c>
      <c r="J36" s="26">
        <f>G36*D36</f>
        <v>2</v>
      </c>
      <c r="K36" s="77">
        <v>4</v>
      </c>
      <c r="L36" s="93">
        <f t="shared" si="2"/>
        <v>0.29296875</v>
      </c>
    </row>
    <row r="37" spans="2:13">
      <c r="B37" s="5"/>
      <c r="C37" s="2" t="s">
        <v>88</v>
      </c>
      <c r="D37" s="26">
        <v>1</v>
      </c>
      <c r="E37" s="29"/>
      <c r="F37" s="29"/>
      <c r="G37" s="26"/>
      <c r="H37" s="26"/>
      <c r="I37" s="26"/>
      <c r="J37" s="26"/>
      <c r="K37" s="77"/>
      <c r="L37" s="77"/>
    </row>
    <row r="38" spans="2:13">
      <c r="B38" s="6"/>
      <c r="C38" s="2" t="s">
        <v>89</v>
      </c>
      <c r="D38" s="26">
        <v>1</v>
      </c>
      <c r="E38" s="29"/>
      <c r="F38" s="29"/>
      <c r="G38" s="26"/>
      <c r="H38" s="26"/>
      <c r="I38" s="26"/>
      <c r="J38" s="26"/>
      <c r="K38" s="77"/>
      <c r="L38" s="77"/>
    </row>
    <row r="39" spans="2:13">
      <c r="B39" s="6"/>
      <c r="C39" s="80" t="s">
        <v>90</v>
      </c>
      <c r="D39" s="74">
        <v>1</v>
      </c>
      <c r="E39" s="75"/>
      <c r="F39" s="75"/>
      <c r="G39" s="74"/>
      <c r="H39" s="74"/>
      <c r="I39" s="74"/>
      <c r="J39" s="74"/>
      <c r="K39" s="88"/>
      <c r="L39" s="88"/>
    </row>
    <row r="40" spans="2:13">
      <c r="B40" s="6"/>
      <c r="C40" s="80" t="s">
        <v>91</v>
      </c>
      <c r="D40" s="74">
        <v>1</v>
      </c>
      <c r="E40" s="75"/>
      <c r="F40" s="75"/>
      <c r="G40" s="74"/>
      <c r="H40" s="74"/>
      <c r="I40" s="74"/>
      <c r="J40" s="74"/>
      <c r="K40" s="88"/>
      <c r="L40" s="88"/>
    </row>
    <row r="41" spans="2:13">
      <c r="B41" s="6"/>
      <c r="C41" s="80" t="s">
        <v>92</v>
      </c>
      <c r="D41" s="74">
        <v>1</v>
      </c>
      <c r="E41" s="75"/>
      <c r="F41" s="75"/>
      <c r="G41" s="74"/>
      <c r="H41" s="74"/>
      <c r="I41" s="74"/>
      <c r="J41" s="74"/>
      <c r="K41" s="88"/>
      <c r="L41" s="88"/>
    </row>
    <row r="42" spans="2:13">
      <c r="B42" s="6"/>
      <c r="C42" s="80" t="s">
        <v>93</v>
      </c>
      <c r="D42" s="74">
        <v>1</v>
      </c>
      <c r="E42" s="75"/>
      <c r="F42" s="75"/>
      <c r="G42" s="74"/>
      <c r="H42" s="74"/>
      <c r="I42" s="74"/>
      <c r="J42" s="74"/>
      <c r="K42" s="88"/>
      <c r="L42" s="88"/>
    </row>
    <row r="43" spans="2:13" ht="15.75" customHeight="1">
      <c r="B43" s="6"/>
      <c r="C43" s="2" t="s">
        <v>94</v>
      </c>
      <c r="D43" s="74">
        <v>1</v>
      </c>
      <c r="E43" s="75"/>
      <c r="F43" s="75"/>
      <c r="G43" s="74"/>
      <c r="H43" s="74"/>
      <c r="I43" s="74"/>
      <c r="J43" s="74"/>
      <c r="K43" s="88"/>
      <c r="L43" s="88"/>
    </row>
    <row r="44" spans="2:13">
      <c r="B44" s="6"/>
      <c r="C44" s="2" t="s">
        <v>95</v>
      </c>
      <c r="D44" s="26">
        <v>1</v>
      </c>
      <c r="E44" s="29"/>
      <c r="F44" s="29"/>
      <c r="G44" s="26"/>
      <c r="H44" s="26"/>
      <c r="I44" s="26"/>
      <c r="J44" s="26"/>
      <c r="K44" s="77"/>
      <c r="L44" s="77"/>
    </row>
    <row r="45" spans="2:13">
      <c r="B45" s="6"/>
      <c r="C45" s="2" t="s">
        <v>96</v>
      </c>
      <c r="D45" s="26">
        <v>1</v>
      </c>
      <c r="E45" s="29"/>
      <c r="F45" s="29"/>
      <c r="G45" s="26"/>
      <c r="H45" s="26"/>
      <c r="I45" s="26"/>
      <c r="J45" s="26"/>
      <c r="K45" s="77"/>
      <c r="L45" s="77"/>
    </row>
    <row r="46" spans="2:13">
      <c r="B46" s="6"/>
      <c r="C46" s="2" t="s">
        <v>97</v>
      </c>
      <c r="D46" s="26">
        <v>1</v>
      </c>
      <c r="E46" s="29" t="s">
        <v>98</v>
      </c>
      <c r="F46" s="29"/>
      <c r="G46" s="26"/>
      <c r="H46" s="26"/>
      <c r="I46" s="26"/>
      <c r="J46" s="26"/>
      <c r="K46" s="77"/>
      <c r="L46" s="77"/>
    </row>
    <row r="47" spans="2:13">
      <c r="B47" s="6"/>
      <c r="C47" s="70" t="s">
        <v>99</v>
      </c>
      <c r="D47" s="26">
        <v>1</v>
      </c>
      <c r="E47" s="30" t="s">
        <v>73</v>
      </c>
      <c r="F47" s="30"/>
      <c r="G47" s="26"/>
      <c r="H47" s="26"/>
      <c r="I47" s="26">
        <v>5120</v>
      </c>
      <c r="J47" s="26"/>
      <c r="K47" s="77"/>
      <c r="L47" s="94">
        <f>I47*D47/1024</f>
        <v>5</v>
      </c>
      <c r="M47" s="95" t="s">
        <v>100</v>
      </c>
    </row>
    <row r="48" spans="2:13">
      <c r="B48" s="6"/>
      <c r="C48" s="2"/>
      <c r="D48" s="69"/>
      <c r="E48" s="71"/>
      <c r="F48" s="29"/>
      <c r="G48" s="72"/>
      <c r="H48" s="69"/>
      <c r="I48" s="69"/>
      <c r="J48" s="72"/>
      <c r="K48" s="89"/>
      <c r="L48" s="90"/>
    </row>
    <row r="49" spans="2:12">
      <c r="B49" s="6"/>
    </row>
    <row r="51" spans="2:12" ht="21.6">
      <c r="C51" s="91"/>
      <c r="L51" s="100">
        <v>165704.76</v>
      </c>
    </row>
    <row r="52" spans="2:12">
      <c r="L52" s="76" t="s">
        <v>102</v>
      </c>
    </row>
    <row r="55" spans="2:12">
      <c r="C55" s="87"/>
    </row>
    <row r="57" spans="2:12">
      <c r="C57" s="76"/>
    </row>
    <row r="58" spans="2:12">
      <c r="B58" s="4"/>
      <c r="C58" s="6"/>
      <c r="E58" s="6"/>
      <c r="F58" s="6"/>
      <c r="I58"/>
      <c r="J58"/>
      <c r="K58"/>
      <c r="L58"/>
    </row>
    <row r="59" spans="2:12">
      <c r="B59" s="4"/>
      <c r="C59" s="6"/>
      <c r="E59" s="6"/>
      <c r="F59" s="6"/>
      <c r="I59"/>
      <c r="J59"/>
      <c r="K59"/>
      <c r="L59"/>
    </row>
    <row r="60" spans="2:12">
      <c r="B60" s="4"/>
      <c r="C60" s="6"/>
      <c r="E60" s="6"/>
      <c r="F60" s="6"/>
      <c r="I60"/>
      <c r="J60"/>
      <c r="K60"/>
      <c r="L60"/>
    </row>
    <row r="61" spans="2:12">
      <c r="B61" s="4"/>
      <c r="C61" s="6"/>
      <c r="E61" s="6"/>
      <c r="F61" s="6"/>
      <c r="I61"/>
      <c r="J61"/>
      <c r="K61"/>
      <c r="L61"/>
    </row>
    <row r="62" spans="2:12">
      <c r="B62" s="4"/>
      <c r="C62" s="6"/>
      <c r="E62" s="6"/>
      <c r="F62" s="6"/>
      <c r="I62"/>
      <c r="J62"/>
      <c r="K62"/>
      <c r="L62"/>
    </row>
    <row r="63" spans="2:12">
      <c r="B63" s="4"/>
      <c r="C63" s="6"/>
      <c r="E63" s="6"/>
      <c r="F63" s="6"/>
      <c r="I63"/>
      <c r="J63"/>
      <c r="K63"/>
      <c r="L63"/>
    </row>
    <row r="64" spans="2:12">
      <c r="B64" s="4"/>
      <c r="C64" s="6"/>
      <c r="E64" s="6"/>
      <c r="F64" s="6"/>
      <c r="I64"/>
      <c r="J64"/>
      <c r="K64"/>
      <c r="L64"/>
    </row>
    <row r="65" spans="2:12">
      <c r="B65" s="4"/>
      <c r="C65" s="6"/>
      <c r="E65" s="6"/>
      <c r="F65" s="6"/>
      <c r="I65"/>
      <c r="J65"/>
      <c r="K65"/>
      <c r="L65"/>
    </row>
    <row r="66" spans="2:12">
      <c r="B66" s="4"/>
      <c r="C66" s="6"/>
      <c r="E66" s="6"/>
      <c r="F66" s="6"/>
      <c r="I66"/>
      <c r="J66"/>
      <c r="K66"/>
      <c r="L66"/>
    </row>
    <row r="67" spans="2:12">
      <c r="B67" s="4"/>
      <c r="C67" s="6"/>
      <c r="E67" s="6"/>
      <c r="F67" s="6"/>
      <c r="I67"/>
      <c r="J67"/>
      <c r="K67"/>
      <c r="L67"/>
    </row>
    <row r="68" spans="2:12">
      <c r="B68" s="4"/>
      <c r="C68" s="6"/>
      <c r="E68" s="6"/>
      <c r="F68" s="6"/>
      <c r="I68"/>
      <c r="J68"/>
      <c r="K68"/>
      <c r="L68"/>
    </row>
    <row r="69" spans="2:12">
      <c r="B69" s="4"/>
      <c r="C69" s="6"/>
      <c r="E69" s="6"/>
      <c r="F69" s="6"/>
      <c r="I69"/>
      <c r="J69"/>
      <c r="K69"/>
      <c r="L6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07E3E-3757-45DD-9E14-ABD971795A7B}">
  <dimension ref="A1:M69"/>
  <sheetViews>
    <sheetView showGridLines="0" zoomScale="80" zoomScaleNormal="80" workbookViewId="0">
      <selection activeCell="G18" sqref="G18:H18"/>
    </sheetView>
  </sheetViews>
  <sheetFormatPr defaultRowHeight="14.45"/>
  <cols>
    <col min="2" max="2" width="7.5703125" customWidth="1"/>
    <col min="3" max="3" width="82.42578125" customWidth="1"/>
    <col min="4" max="4" width="25.28515625" style="6" customWidth="1"/>
    <col min="5" max="5" width="20.42578125" style="4" bestFit="1" customWidth="1"/>
    <col min="6" max="6" width="25.28515625" style="4" customWidth="1"/>
    <col min="7" max="8" width="9.28515625" style="6" bestFit="1" customWidth="1"/>
    <col min="9" max="9" width="14" style="6" customWidth="1"/>
    <col min="10" max="10" width="8.42578125" style="6" bestFit="1" customWidth="1"/>
    <col min="11" max="11" width="8.42578125" style="6" customWidth="1"/>
    <col min="12" max="12" width="18.7109375" style="6" customWidth="1"/>
    <col min="13" max="13" width="18.42578125" customWidth="1"/>
    <col min="14" max="14" width="17.7109375" customWidth="1"/>
    <col min="15" max="15" width="16.28515625" bestFit="1" customWidth="1"/>
    <col min="16" max="16" width="23.7109375" customWidth="1"/>
    <col min="17" max="17" width="31" customWidth="1"/>
    <col min="19" max="19" width="27.5703125" customWidth="1"/>
    <col min="20" max="20" width="14" bestFit="1" customWidth="1"/>
    <col min="21" max="21" width="16.28515625" bestFit="1" customWidth="1"/>
    <col min="22" max="22" width="21.42578125" bestFit="1" customWidth="1"/>
    <col min="23" max="23" width="24.42578125" bestFit="1" customWidth="1"/>
  </cols>
  <sheetData>
    <row r="1" spans="1:13" ht="18">
      <c r="B1" s="8"/>
    </row>
    <row r="2" spans="1:13" ht="18">
      <c r="D2" s="9" t="s">
        <v>43</v>
      </c>
      <c r="E2" s="9"/>
      <c r="F2" s="9"/>
      <c r="G2" s="9"/>
      <c r="H2" s="9"/>
      <c r="I2" s="9"/>
      <c r="J2" s="9"/>
      <c r="K2" s="9"/>
      <c r="L2" s="9"/>
    </row>
    <row r="3" spans="1:13" ht="15.6">
      <c r="B3" s="10"/>
      <c r="C3" s="11"/>
      <c r="D3" s="12"/>
      <c r="E3" s="13"/>
      <c r="F3" s="13"/>
      <c r="G3" s="12"/>
      <c r="H3" s="12"/>
      <c r="I3" s="12"/>
      <c r="J3" s="12"/>
      <c r="K3" s="12"/>
      <c r="L3" s="12"/>
    </row>
    <row r="4" spans="1:13" ht="43.15">
      <c r="B4" s="14" t="s">
        <v>44</v>
      </c>
      <c r="C4" s="15" t="s">
        <v>45</v>
      </c>
      <c r="D4" s="22" t="s">
        <v>46</v>
      </c>
      <c r="E4" s="23" t="s">
        <v>47</v>
      </c>
      <c r="F4" s="23" t="s">
        <v>48</v>
      </c>
      <c r="G4" s="23" t="s">
        <v>49</v>
      </c>
      <c r="H4" s="23" t="s">
        <v>50</v>
      </c>
      <c r="I4" s="23" t="s">
        <v>51</v>
      </c>
      <c r="J4" s="34" t="s">
        <v>52</v>
      </c>
      <c r="K4" s="34" t="s">
        <v>53</v>
      </c>
      <c r="L4" s="34" t="s">
        <v>54</v>
      </c>
    </row>
    <row r="5" spans="1:13">
      <c r="B5" s="21">
        <v>1</v>
      </c>
      <c r="C5" s="20" t="s">
        <v>55</v>
      </c>
      <c r="D5" s="24"/>
      <c r="E5" s="25"/>
      <c r="F5" s="25"/>
      <c r="G5" s="24"/>
      <c r="H5" s="24"/>
      <c r="I5" s="24"/>
      <c r="J5" s="24"/>
      <c r="K5" s="24"/>
      <c r="L5" s="24"/>
    </row>
    <row r="6" spans="1:13">
      <c r="B6" s="18"/>
      <c r="C6" s="19" t="s">
        <v>56</v>
      </c>
      <c r="D6" s="26">
        <v>1</v>
      </c>
      <c r="E6" s="27" t="s">
        <v>57</v>
      </c>
      <c r="F6" s="27"/>
      <c r="G6" s="24"/>
      <c r="H6" s="24"/>
      <c r="I6" s="24"/>
      <c r="J6" s="24"/>
      <c r="K6" s="24"/>
      <c r="L6" s="24"/>
    </row>
    <row r="7" spans="1:13">
      <c r="B7" s="6"/>
      <c r="C7" s="2" t="s">
        <v>58</v>
      </c>
      <c r="D7" s="77">
        <v>4</v>
      </c>
      <c r="E7" s="78" t="s">
        <v>59</v>
      </c>
      <c r="F7" s="79" t="s">
        <v>60</v>
      </c>
      <c r="G7" s="77">
        <v>16</v>
      </c>
      <c r="H7" s="77">
        <v>32</v>
      </c>
      <c r="I7" s="26">
        <v>256</v>
      </c>
      <c r="J7" s="26">
        <f t="shared" ref="J7:J9" si="0">G7*D7</f>
        <v>64</v>
      </c>
      <c r="K7" s="26">
        <f t="shared" ref="K7:K9" si="1">H7*D7</f>
        <v>128</v>
      </c>
      <c r="L7" s="93">
        <f>I7*D7/1024</f>
        <v>1</v>
      </c>
    </row>
    <row r="8" spans="1:13">
      <c r="B8" s="6"/>
      <c r="C8" s="2" t="s">
        <v>61</v>
      </c>
      <c r="D8" s="26">
        <v>2</v>
      </c>
      <c r="E8" s="29" t="s">
        <v>59</v>
      </c>
      <c r="F8" s="79" t="s">
        <v>60</v>
      </c>
      <c r="G8" s="26">
        <v>8</v>
      </c>
      <c r="H8" s="26">
        <v>16</v>
      </c>
      <c r="I8" s="26">
        <v>512</v>
      </c>
      <c r="J8" s="26">
        <f t="shared" si="0"/>
        <v>16</v>
      </c>
      <c r="K8" s="26">
        <f t="shared" si="1"/>
        <v>32</v>
      </c>
      <c r="L8" s="93">
        <f>I8*D8/1024</f>
        <v>1</v>
      </c>
    </row>
    <row r="9" spans="1:13">
      <c r="A9" t="s">
        <v>62</v>
      </c>
      <c r="B9" s="6"/>
      <c r="C9" s="2" t="s">
        <v>63</v>
      </c>
      <c r="D9" s="26">
        <v>2</v>
      </c>
      <c r="E9" s="29" t="s">
        <v>59</v>
      </c>
      <c r="F9" s="79" t="s">
        <v>60</v>
      </c>
      <c r="G9" s="26">
        <v>8</v>
      </c>
      <c r="H9" s="26">
        <v>16</v>
      </c>
      <c r="I9" s="26">
        <v>1024</v>
      </c>
      <c r="J9" s="26">
        <f t="shared" si="0"/>
        <v>16</v>
      </c>
      <c r="K9" s="26">
        <f t="shared" si="1"/>
        <v>32</v>
      </c>
      <c r="L9" s="93">
        <f>I9*D9/1024</f>
        <v>2</v>
      </c>
    </row>
    <row r="10" spans="1:13" ht="13.5" customHeight="1">
      <c r="B10" s="6"/>
      <c r="C10" s="2"/>
      <c r="D10" s="26"/>
      <c r="E10" s="29"/>
      <c r="F10" s="79"/>
      <c r="G10" s="26"/>
      <c r="H10" s="26"/>
      <c r="I10" s="26"/>
      <c r="J10" s="26"/>
      <c r="K10" s="26"/>
      <c r="L10" s="26"/>
    </row>
    <row r="11" spans="1:13">
      <c r="B11" s="7">
        <v>2</v>
      </c>
      <c r="C11" s="84" t="s">
        <v>64</v>
      </c>
      <c r="D11" s="28"/>
      <c r="E11" s="28"/>
      <c r="F11" s="28"/>
      <c r="G11" s="28"/>
      <c r="H11" s="28"/>
      <c r="I11" s="28"/>
      <c r="J11" s="28"/>
      <c r="K11" s="28"/>
      <c r="L11" s="28"/>
      <c r="M11" s="92"/>
    </row>
    <row r="12" spans="1:13">
      <c r="B12" s="6"/>
      <c r="C12" s="35" t="s">
        <v>65</v>
      </c>
      <c r="D12" s="26">
        <v>2</v>
      </c>
      <c r="E12" s="30" t="s">
        <v>66</v>
      </c>
      <c r="F12" s="36"/>
      <c r="G12" s="26">
        <v>32</v>
      </c>
      <c r="H12" s="26">
        <v>128</v>
      </c>
      <c r="I12" s="26">
        <v>300</v>
      </c>
      <c r="J12" s="26">
        <f>G12*D12</f>
        <v>64</v>
      </c>
      <c r="K12" s="26">
        <f>H12*D12</f>
        <v>256</v>
      </c>
      <c r="L12" s="93">
        <f>I12*D12/1024</f>
        <v>0.5859375</v>
      </c>
      <c r="M12" s="92"/>
    </row>
    <row r="13" spans="1:13">
      <c r="B13" s="6"/>
      <c r="C13" s="35" t="s">
        <v>67</v>
      </c>
      <c r="D13" s="26">
        <v>4</v>
      </c>
      <c r="E13" s="30" t="s">
        <v>66</v>
      </c>
      <c r="F13" s="36"/>
      <c r="G13" s="26">
        <v>2</v>
      </c>
      <c r="H13" s="26">
        <v>8</v>
      </c>
      <c r="I13" s="26">
        <v>100</v>
      </c>
      <c r="J13" s="26">
        <f>G13*D13</f>
        <v>8</v>
      </c>
      <c r="K13" s="26">
        <f>H13*D13</f>
        <v>32</v>
      </c>
      <c r="L13" s="93">
        <f>I13*D13/1024</f>
        <v>0.390625</v>
      </c>
      <c r="M13" s="92"/>
    </row>
    <row r="14" spans="1:13">
      <c r="B14" s="6"/>
      <c r="C14" s="80" t="s">
        <v>68</v>
      </c>
      <c r="D14" s="26">
        <v>2</v>
      </c>
      <c r="E14" s="31" t="s">
        <v>69</v>
      </c>
      <c r="F14" s="31"/>
      <c r="G14" s="32"/>
      <c r="H14" s="26"/>
      <c r="I14" s="26">
        <v>2500</v>
      </c>
      <c r="J14" s="32"/>
      <c r="K14" s="26"/>
      <c r="L14" s="93">
        <f>I14*D14/1024</f>
        <v>4.8828125</v>
      </c>
      <c r="M14" s="92"/>
    </row>
    <row r="15" spans="1:13">
      <c r="B15" s="6"/>
      <c r="C15" s="80"/>
      <c r="D15" s="26"/>
      <c r="E15" s="31"/>
      <c r="F15" s="31"/>
      <c r="G15" s="32"/>
      <c r="H15" s="26"/>
      <c r="I15" s="26"/>
      <c r="J15" s="32"/>
      <c r="K15" s="26"/>
      <c r="L15" s="93"/>
      <c r="M15" s="92"/>
    </row>
    <row r="16" spans="1:13">
      <c r="B16" s="6"/>
      <c r="C16" s="2"/>
      <c r="D16" s="26"/>
      <c r="E16" s="31"/>
      <c r="F16" s="31"/>
      <c r="G16" s="32"/>
      <c r="H16" s="26"/>
      <c r="J16" s="32"/>
      <c r="K16" s="26"/>
      <c r="L16" s="93"/>
      <c r="M16" s="92"/>
    </row>
    <row r="17" spans="2:13">
      <c r="B17" s="7">
        <v>3</v>
      </c>
      <c r="C17" s="84" t="s">
        <v>70</v>
      </c>
      <c r="D17" s="28"/>
      <c r="E17" s="28"/>
      <c r="F17" s="28"/>
      <c r="G17" s="28"/>
      <c r="H17" s="28"/>
      <c r="I17" s="28"/>
      <c r="J17" s="28"/>
      <c r="K17" s="28"/>
      <c r="L17" s="28"/>
      <c r="M17" s="92"/>
    </row>
    <row r="18" spans="2:13">
      <c r="B18" s="6"/>
      <c r="C18" s="35" t="s">
        <v>65</v>
      </c>
      <c r="D18" s="26">
        <v>1</v>
      </c>
      <c r="E18" s="30" t="s">
        <v>66</v>
      </c>
      <c r="F18" s="36"/>
      <c r="G18" s="26">
        <f>G12</f>
        <v>32</v>
      </c>
      <c r="H18" s="26">
        <f>H12</f>
        <v>128</v>
      </c>
      <c r="I18" s="26">
        <v>300</v>
      </c>
      <c r="J18" s="26">
        <f>G18*D18</f>
        <v>32</v>
      </c>
      <c r="K18" s="26">
        <f>H18*D18</f>
        <v>128</v>
      </c>
      <c r="L18" s="93">
        <f>I18*D18/1024</f>
        <v>0.29296875</v>
      </c>
      <c r="M18" s="92"/>
    </row>
    <row r="19" spans="2:13">
      <c r="B19" s="6"/>
      <c r="C19" s="80" t="s">
        <v>68</v>
      </c>
      <c r="D19" s="26">
        <v>1</v>
      </c>
      <c r="E19" s="31" t="s">
        <v>69</v>
      </c>
      <c r="F19" s="31"/>
      <c r="G19" s="32"/>
      <c r="H19" s="26"/>
      <c r="I19" s="26">
        <f>I14</f>
        <v>2500</v>
      </c>
      <c r="J19" s="32"/>
      <c r="K19" s="26"/>
      <c r="L19" s="93">
        <f>I19*D19/1024</f>
        <v>2.44140625</v>
      </c>
      <c r="M19" s="92"/>
    </row>
    <row r="20" spans="2:13">
      <c r="B20" s="6"/>
      <c r="C20" s="2"/>
      <c r="D20" s="26"/>
      <c r="E20" s="31"/>
      <c r="F20" s="31"/>
      <c r="G20" s="32"/>
      <c r="H20" s="26"/>
      <c r="I20" s="26"/>
      <c r="J20" s="32"/>
      <c r="K20" s="26"/>
      <c r="L20" s="93"/>
      <c r="M20" s="92"/>
    </row>
    <row r="21" spans="2:13">
      <c r="B21" s="6"/>
      <c r="C21" s="80"/>
      <c r="D21" s="26"/>
      <c r="E21" s="31"/>
      <c r="F21" s="31"/>
      <c r="G21" s="32"/>
      <c r="H21" s="26"/>
      <c r="I21" s="26"/>
      <c r="J21" s="32"/>
      <c r="K21" s="26"/>
      <c r="L21" s="93"/>
      <c r="M21" s="92"/>
    </row>
    <row r="22" spans="2:13">
      <c r="B22" s="6"/>
      <c r="C22" s="80"/>
      <c r="D22" s="26"/>
      <c r="E22" s="31"/>
      <c r="F22" s="31"/>
      <c r="G22" s="32"/>
      <c r="H22" s="26"/>
      <c r="I22" s="26"/>
      <c r="J22" s="32"/>
      <c r="K22" s="26"/>
      <c r="L22" s="93"/>
      <c r="M22" s="92"/>
    </row>
    <row r="23" spans="2:13">
      <c r="B23" s="7">
        <v>4</v>
      </c>
      <c r="C23" s="16" t="s">
        <v>71</v>
      </c>
      <c r="D23" s="28"/>
      <c r="E23" s="28"/>
      <c r="F23" s="28"/>
      <c r="G23" s="28"/>
      <c r="H23" s="28"/>
      <c r="I23" s="28"/>
      <c r="J23" s="28"/>
      <c r="K23" s="28"/>
      <c r="L23" s="93"/>
    </row>
    <row r="24" spans="2:13">
      <c r="B24" s="6"/>
      <c r="C24" s="2" t="s">
        <v>72</v>
      </c>
      <c r="D24" s="26">
        <v>1</v>
      </c>
      <c r="E24" s="30" t="s">
        <v>73</v>
      </c>
      <c r="F24" s="36" t="s">
        <v>74</v>
      </c>
      <c r="G24" s="26"/>
      <c r="H24" s="26"/>
      <c r="I24" s="26">
        <v>7200</v>
      </c>
      <c r="J24" s="26"/>
      <c r="K24" s="26"/>
      <c r="L24" s="93">
        <f t="shared" ref="L24:L36" si="2">I24*D24/1024</f>
        <v>7.03125</v>
      </c>
    </row>
    <row r="25" spans="2:13">
      <c r="B25" s="6"/>
      <c r="C25" s="1"/>
      <c r="D25" s="26"/>
      <c r="E25" s="30"/>
      <c r="F25" s="30"/>
      <c r="G25" s="26"/>
      <c r="H25" s="26"/>
      <c r="I25" s="26"/>
      <c r="J25" s="26"/>
      <c r="K25" s="26"/>
      <c r="L25" s="93"/>
    </row>
    <row r="26" spans="2:13">
      <c r="B26" s="7">
        <v>5</v>
      </c>
      <c r="C26" s="16" t="s">
        <v>75</v>
      </c>
      <c r="D26" s="28"/>
      <c r="E26" s="28"/>
      <c r="F26" s="28"/>
      <c r="G26" s="28"/>
      <c r="H26" s="28"/>
      <c r="I26" s="28"/>
      <c r="J26" s="28"/>
      <c r="K26" s="28"/>
      <c r="L26" s="93"/>
    </row>
    <row r="27" spans="2:13">
      <c r="B27" s="6"/>
      <c r="C27" s="2" t="s">
        <v>76</v>
      </c>
      <c r="D27" s="26">
        <v>2</v>
      </c>
      <c r="E27" s="30"/>
      <c r="F27" s="79" t="s">
        <v>60</v>
      </c>
      <c r="G27" s="26">
        <v>4</v>
      </c>
      <c r="H27" s="77">
        <v>16</v>
      </c>
      <c r="I27" s="77"/>
      <c r="J27" s="26">
        <f>G27*D27</f>
        <v>8</v>
      </c>
      <c r="K27" s="26">
        <f>H27*D27</f>
        <v>32</v>
      </c>
      <c r="L27" s="93"/>
    </row>
    <row r="28" spans="2:13">
      <c r="B28" s="6"/>
      <c r="C28" s="3"/>
      <c r="D28" s="26"/>
      <c r="E28" s="30"/>
      <c r="F28" s="30"/>
      <c r="G28" s="26"/>
      <c r="H28" s="26"/>
      <c r="I28" s="26"/>
      <c r="J28" s="26"/>
      <c r="K28" s="26"/>
      <c r="L28" s="93"/>
    </row>
    <row r="29" spans="2:13">
      <c r="B29" s="7">
        <v>6</v>
      </c>
      <c r="C29" s="16" t="s">
        <v>77</v>
      </c>
      <c r="D29" s="28"/>
      <c r="E29" s="28"/>
      <c r="F29" s="28"/>
      <c r="G29" s="28"/>
      <c r="H29" s="28"/>
      <c r="I29" s="28"/>
      <c r="J29" s="28"/>
      <c r="K29" s="28"/>
      <c r="L29" s="93"/>
    </row>
    <row r="30" spans="2:13" s="5" customFormat="1">
      <c r="B30" s="6"/>
      <c r="C30" s="17" t="s">
        <v>78</v>
      </c>
      <c r="D30" s="26">
        <v>2</v>
      </c>
      <c r="E30" s="33"/>
      <c r="F30" s="33"/>
      <c r="G30" s="26"/>
      <c r="H30" s="26"/>
      <c r="I30" s="26"/>
      <c r="J30" s="26"/>
      <c r="K30" s="26"/>
      <c r="L30" s="93"/>
    </row>
    <row r="31" spans="2:13">
      <c r="B31" s="6"/>
      <c r="C31" s="2" t="s">
        <v>79</v>
      </c>
      <c r="D31" s="26">
        <v>5</v>
      </c>
      <c r="E31" s="30"/>
      <c r="F31" s="30"/>
      <c r="G31" s="26"/>
      <c r="H31" s="26"/>
      <c r="I31" s="26"/>
      <c r="J31" s="26"/>
      <c r="K31" s="26"/>
      <c r="L31" s="93"/>
    </row>
    <row r="32" spans="2:13">
      <c r="B32" s="6"/>
      <c r="C32" s="2" t="s">
        <v>80</v>
      </c>
      <c r="D32" s="26">
        <v>1</v>
      </c>
      <c r="E32" s="29" t="s">
        <v>81</v>
      </c>
      <c r="F32" s="29"/>
      <c r="G32" s="26"/>
      <c r="H32" s="26"/>
      <c r="I32" s="26"/>
      <c r="J32" s="26"/>
      <c r="K32" s="26"/>
      <c r="L32" s="93"/>
    </row>
    <row r="33" spans="2:13">
      <c r="B33" s="6"/>
      <c r="C33" s="2" t="s">
        <v>82</v>
      </c>
      <c r="D33" s="26">
        <v>1</v>
      </c>
      <c r="E33" s="29" t="s">
        <v>83</v>
      </c>
      <c r="F33" s="29" t="s">
        <v>74</v>
      </c>
      <c r="G33" s="26"/>
      <c r="H33" s="26"/>
      <c r="I33" s="26">
        <v>512</v>
      </c>
      <c r="J33" s="26"/>
      <c r="K33" s="26"/>
      <c r="L33" s="93">
        <f t="shared" si="2"/>
        <v>0.5</v>
      </c>
    </row>
    <row r="34" spans="2:13">
      <c r="B34" s="6"/>
      <c r="C34" s="2" t="s">
        <v>84</v>
      </c>
      <c r="D34" s="26">
        <v>2</v>
      </c>
      <c r="E34" s="29"/>
      <c r="F34" s="29"/>
      <c r="G34" s="26"/>
      <c r="H34" s="26"/>
      <c r="I34" s="26"/>
      <c r="J34" s="26"/>
      <c r="K34" s="26"/>
      <c r="L34" s="93"/>
    </row>
    <row r="35" spans="2:13">
      <c r="B35" s="6"/>
      <c r="C35" s="2" t="s">
        <v>85</v>
      </c>
      <c r="D35" s="26">
        <v>1</v>
      </c>
      <c r="E35" s="29"/>
      <c r="F35" s="29"/>
      <c r="G35" s="26"/>
      <c r="H35" s="26"/>
      <c r="I35" s="26"/>
      <c r="J35" s="26"/>
      <c r="K35" s="77"/>
      <c r="L35" s="93"/>
    </row>
    <row r="36" spans="2:13">
      <c r="B36" s="5"/>
      <c r="C36" s="2" t="s">
        <v>86</v>
      </c>
      <c r="D36" s="26">
        <v>1</v>
      </c>
      <c r="E36" s="29" t="s">
        <v>87</v>
      </c>
      <c r="F36" s="79" t="s">
        <v>60</v>
      </c>
      <c r="G36" s="26">
        <v>2</v>
      </c>
      <c r="H36" s="26">
        <v>4</v>
      </c>
      <c r="I36" s="26">
        <v>300</v>
      </c>
      <c r="J36" s="26">
        <f>G36*D36</f>
        <v>2</v>
      </c>
      <c r="K36" s="77">
        <v>4</v>
      </c>
      <c r="L36" s="93">
        <f t="shared" si="2"/>
        <v>0.29296875</v>
      </c>
    </row>
    <row r="37" spans="2:13">
      <c r="B37" s="5"/>
      <c r="C37" s="2" t="s">
        <v>88</v>
      </c>
      <c r="D37" s="26">
        <v>1</v>
      </c>
      <c r="E37" s="29"/>
      <c r="F37" s="29"/>
      <c r="G37" s="26"/>
      <c r="H37" s="26"/>
      <c r="I37" s="26"/>
      <c r="J37" s="26"/>
      <c r="K37" s="77"/>
      <c r="L37" s="77"/>
    </row>
    <row r="38" spans="2:13">
      <c r="B38" s="6"/>
      <c r="C38" s="2" t="s">
        <v>89</v>
      </c>
      <c r="D38" s="26">
        <v>1</v>
      </c>
      <c r="E38" s="29"/>
      <c r="F38" s="29"/>
      <c r="G38" s="26"/>
      <c r="H38" s="26"/>
      <c r="I38" s="26"/>
      <c r="J38" s="26"/>
      <c r="K38" s="77"/>
      <c r="L38" s="77"/>
    </row>
    <row r="39" spans="2:13">
      <c r="B39" s="6"/>
      <c r="C39" s="80" t="s">
        <v>90</v>
      </c>
      <c r="D39" s="74">
        <v>1</v>
      </c>
      <c r="E39" s="75"/>
      <c r="F39" s="75"/>
      <c r="G39" s="74"/>
      <c r="H39" s="74"/>
      <c r="I39" s="74"/>
      <c r="J39" s="74"/>
      <c r="K39" s="88"/>
      <c r="L39" s="88"/>
    </row>
    <row r="40" spans="2:13">
      <c r="B40" s="6"/>
      <c r="C40" s="80" t="s">
        <v>91</v>
      </c>
      <c r="D40" s="74">
        <v>1</v>
      </c>
      <c r="E40" s="75"/>
      <c r="F40" s="75"/>
      <c r="G40" s="74"/>
      <c r="H40" s="74"/>
      <c r="I40" s="74"/>
      <c r="J40" s="74"/>
      <c r="K40" s="88"/>
      <c r="L40" s="88"/>
    </row>
    <row r="41" spans="2:13">
      <c r="B41" s="6"/>
      <c r="C41" s="80" t="s">
        <v>92</v>
      </c>
      <c r="D41" s="74">
        <v>1</v>
      </c>
      <c r="E41" s="75"/>
      <c r="F41" s="75"/>
      <c r="G41" s="74"/>
      <c r="H41" s="74"/>
      <c r="I41" s="74"/>
      <c r="J41" s="74"/>
      <c r="K41" s="88"/>
      <c r="L41" s="88"/>
    </row>
    <row r="42" spans="2:13">
      <c r="B42" s="6"/>
      <c r="C42" s="80" t="s">
        <v>93</v>
      </c>
      <c r="D42" s="74">
        <v>1</v>
      </c>
      <c r="E42" s="75"/>
      <c r="F42" s="75"/>
      <c r="G42" s="74"/>
      <c r="H42" s="74"/>
      <c r="I42" s="74"/>
      <c r="J42" s="74"/>
      <c r="K42" s="88"/>
      <c r="L42" s="88"/>
    </row>
    <row r="43" spans="2:13" ht="15.75" customHeight="1">
      <c r="B43" s="6"/>
      <c r="C43" s="2" t="s">
        <v>94</v>
      </c>
      <c r="D43" s="74">
        <v>1</v>
      </c>
      <c r="E43" s="75"/>
      <c r="F43" s="75"/>
      <c r="G43" s="74"/>
      <c r="H43" s="74"/>
      <c r="I43" s="74"/>
      <c r="J43" s="74"/>
      <c r="K43" s="88"/>
      <c r="L43" s="88"/>
    </row>
    <row r="44" spans="2:13">
      <c r="B44" s="6"/>
      <c r="C44" s="2" t="s">
        <v>95</v>
      </c>
      <c r="D44" s="26">
        <v>1</v>
      </c>
      <c r="E44" s="29"/>
      <c r="F44" s="29"/>
      <c r="G44" s="26"/>
      <c r="H44" s="26"/>
      <c r="I44" s="26"/>
      <c r="J44" s="26"/>
      <c r="K44" s="77"/>
      <c r="L44" s="77"/>
    </row>
    <row r="45" spans="2:13">
      <c r="B45" s="6"/>
      <c r="C45" s="2" t="s">
        <v>96</v>
      </c>
      <c r="D45" s="26">
        <v>1</v>
      </c>
      <c r="E45" s="29"/>
      <c r="F45" s="29"/>
      <c r="G45" s="26"/>
      <c r="H45" s="26"/>
      <c r="I45" s="26"/>
      <c r="J45" s="26"/>
      <c r="K45" s="77"/>
      <c r="L45" s="77"/>
    </row>
    <row r="46" spans="2:13">
      <c r="B46" s="6"/>
      <c r="C46" s="2" t="s">
        <v>97</v>
      </c>
      <c r="D46" s="26">
        <v>1</v>
      </c>
      <c r="E46" s="29" t="s">
        <v>98</v>
      </c>
      <c r="F46" s="29"/>
      <c r="G46" s="26"/>
      <c r="H46" s="26"/>
      <c r="I46" s="26"/>
      <c r="J46" s="26"/>
      <c r="K46" s="77"/>
      <c r="L46" s="77"/>
    </row>
    <row r="47" spans="2:13">
      <c r="B47" s="6"/>
      <c r="C47" s="70" t="s">
        <v>99</v>
      </c>
      <c r="D47" s="26">
        <v>1</v>
      </c>
      <c r="E47" s="30" t="s">
        <v>73</v>
      </c>
      <c r="F47" s="30"/>
      <c r="G47" s="26"/>
      <c r="H47" s="26"/>
      <c r="I47" s="26">
        <v>5120</v>
      </c>
      <c r="J47" s="26"/>
      <c r="K47" s="77"/>
      <c r="L47" s="94">
        <f>I47*D47/1024</f>
        <v>5</v>
      </c>
      <c r="M47" s="95" t="s">
        <v>100</v>
      </c>
    </row>
    <row r="48" spans="2:13">
      <c r="B48" s="6"/>
      <c r="C48" s="2"/>
      <c r="D48" s="69"/>
      <c r="E48" s="71"/>
      <c r="F48" s="29"/>
      <c r="G48" s="72"/>
      <c r="H48" s="69"/>
      <c r="I48" s="69"/>
      <c r="J48" s="72"/>
      <c r="K48" s="89"/>
      <c r="L48" s="90"/>
    </row>
    <row r="49" spans="2:12">
      <c r="B49" s="6"/>
    </row>
    <row r="51" spans="2:12">
      <c r="C51" s="91"/>
    </row>
    <row r="52" spans="2:12">
      <c r="L52" s="97">
        <v>167217.96</v>
      </c>
    </row>
    <row r="53" spans="2:12">
      <c r="L53" s="76" t="s">
        <v>103</v>
      </c>
    </row>
    <row r="55" spans="2:12">
      <c r="C55" s="87"/>
    </row>
    <row r="57" spans="2:12">
      <c r="C57" s="76"/>
    </row>
    <row r="58" spans="2:12">
      <c r="B58" s="4"/>
      <c r="C58" s="6"/>
      <c r="E58" s="6"/>
      <c r="F58" s="6"/>
      <c r="I58"/>
      <c r="J58"/>
      <c r="K58"/>
      <c r="L58"/>
    </row>
    <row r="59" spans="2:12">
      <c r="B59" s="4"/>
      <c r="C59" s="6"/>
      <c r="E59" s="6"/>
      <c r="F59" s="6"/>
      <c r="I59"/>
      <c r="J59"/>
      <c r="K59"/>
      <c r="L59"/>
    </row>
    <row r="60" spans="2:12">
      <c r="B60" s="4"/>
      <c r="C60" s="6"/>
      <c r="E60" s="6"/>
      <c r="F60" s="6"/>
      <c r="I60"/>
      <c r="J60"/>
      <c r="K60"/>
      <c r="L60"/>
    </row>
    <row r="61" spans="2:12">
      <c r="B61" s="4"/>
      <c r="C61" s="6"/>
      <c r="E61" s="6"/>
      <c r="F61" s="6"/>
      <c r="I61"/>
      <c r="J61"/>
      <c r="K61"/>
      <c r="L61"/>
    </row>
    <row r="62" spans="2:12">
      <c r="B62" s="4"/>
      <c r="C62" s="6"/>
      <c r="E62" s="6"/>
      <c r="F62" s="6"/>
      <c r="I62"/>
      <c r="J62"/>
      <c r="K62"/>
      <c r="L62"/>
    </row>
    <row r="63" spans="2:12">
      <c r="B63" s="4"/>
      <c r="C63" s="6"/>
      <c r="E63" s="6"/>
      <c r="F63" s="6"/>
      <c r="I63"/>
      <c r="J63"/>
      <c r="K63"/>
      <c r="L63"/>
    </row>
    <row r="64" spans="2:12">
      <c r="B64" s="4"/>
      <c r="C64" s="6"/>
      <c r="E64" s="6"/>
      <c r="F64" s="6"/>
      <c r="I64"/>
      <c r="J64"/>
      <c r="K64"/>
      <c r="L64"/>
    </row>
    <row r="65" spans="2:12">
      <c r="B65" s="4"/>
      <c r="C65" s="6"/>
      <c r="E65" s="6"/>
      <c r="F65" s="6"/>
      <c r="I65"/>
      <c r="J65"/>
      <c r="K65"/>
      <c r="L65"/>
    </row>
    <row r="66" spans="2:12">
      <c r="B66" s="4"/>
      <c r="C66" s="6"/>
      <c r="E66" s="6"/>
      <c r="F66" s="6"/>
      <c r="I66"/>
      <c r="J66"/>
      <c r="K66"/>
      <c r="L66"/>
    </row>
    <row r="67" spans="2:12">
      <c r="B67" s="4"/>
      <c r="C67" s="6"/>
      <c r="E67" s="6"/>
      <c r="F67" s="6"/>
      <c r="I67"/>
      <c r="J67"/>
      <c r="K67"/>
      <c r="L67"/>
    </row>
    <row r="68" spans="2:12">
      <c r="B68" s="4"/>
      <c r="C68" s="6"/>
      <c r="E68" s="6"/>
      <c r="F68" s="6"/>
      <c r="I68"/>
      <c r="J68"/>
      <c r="K68"/>
      <c r="L68"/>
    </row>
    <row r="69" spans="2:12">
      <c r="B69" s="4"/>
      <c r="C69" s="6"/>
      <c r="E69" s="6"/>
      <c r="F69" s="6"/>
      <c r="I69"/>
      <c r="J69"/>
      <c r="K69"/>
      <c r="L69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6F1C2-C646-4BA7-879D-C77EBD8B333D}">
  <dimension ref="A1:M70"/>
  <sheetViews>
    <sheetView showGridLines="0" zoomScale="80" zoomScaleNormal="80" workbookViewId="0">
      <selection activeCell="G18" sqref="G18:H18"/>
    </sheetView>
  </sheetViews>
  <sheetFormatPr defaultRowHeight="14.45"/>
  <cols>
    <col min="2" max="2" width="7.5703125" customWidth="1"/>
    <col min="3" max="3" width="82.42578125" customWidth="1"/>
    <col min="4" max="4" width="25.28515625" style="6" customWidth="1"/>
    <col min="5" max="5" width="20.42578125" style="4" bestFit="1" customWidth="1"/>
    <col min="6" max="6" width="25.28515625" style="4" customWidth="1"/>
    <col min="7" max="8" width="9.28515625" style="6" bestFit="1" customWidth="1"/>
    <col min="9" max="9" width="14" style="6" customWidth="1"/>
    <col min="10" max="10" width="8.42578125" style="6" bestFit="1" customWidth="1"/>
    <col min="11" max="11" width="8.42578125" style="6" customWidth="1"/>
    <col min="12" max="12" width="18.7109375" style="6" customWidth="1"/>
    <col min="13" max="13" width="18.42578125" customWidth="1"/>
    <col min="14" max="14" width="17.7109375" customWidth="1"/>
    <col min="15" max="15" width="16.28515625" bestFit="1" customWidth="1"/>
    <col min="16" max="16" width="23.7109375" customWidth="1"/>
    <col min="17" max="17" width="31" customWidth="1"/>
    <col min="19" max="19" width="27.5703125" customWidth="1"/>
    <col min="20" max="20" width="14" bestFit="1" customWidth="1"/>
    <col min="21" max="21" width="16.28515625" bestFit="1" customWidth="1"/>
    <col min="22" max="22" width="21.42578125" bestFit="1" customWidth="1"/>
    <col min="23" max="23" width="24.42578125" bestFit="1" customWidth="1"/>
  </cols>
  <sheetData>
    <row r="1" spans="1:13" ht="18">
      <c r="B1" s="8"/>
    </row>
    <row r="2" spans="1:13" ht="18">
      <c r="D2" s="9" t="s">
        <v>43</v>
      </c>
      <c r="E2" s="9"/>
      <c r="F2" s="9"/>
      <c r="G2" s="9"/>
      <c r="H2" s="9"/>
      <c r="I2" s="9"/>
      <c r="J2" s="9"/>
      <c r="K2" s="9"/>
      <c r="L2" s="9"/>
    </row>
    <row r="3" spans="1:13" ht="15.6">
      <c r="B3" s="10"/>
      <c r="C3" s="11"/>
      <c r="D3" s="12"/>
      <c r="E3" s="13"/>
      <c r="F3" s="13"/>
      <c r="G3" s="12"/>
      <c r="H3" s="12"/>
      <c r="I3" s="12"/>
      <c r="J3" s="12"/>
      <c r="K3" s="12"/>
      <c r="L3" s="12"/>
    </row>
    <row r="4" spans="1:13" ht="43.15">
      <c r="B4" s="14" t="s">
        <v>44</v>
      </c>
      <c r="C4" s="15" t="s">
        <v>45</v>
      </c>
      <c r="D4" s="22" t="s">
        <v>46</v>
      </c>
      <c r="E4" s="23" t="s">
        <v>47</v>
      </c>
      <c r="F4" s="23" t="s">
        <v>48</v>
      </c>
      <c r="G4" s="23" t="s">
        <v>49</v>
      </c>
      <c r="H4" s="23" t="s">
        <v>50</v>
      </c>
      <c r="I4" s="23" t="s">
        <v>51</v>
      </c>
      <c r="J4" s="34" t="s">
        <v>52</v>
      </c>
      <c r="K4" s="34" t="s">
        <v>53</v>
      </c>
      <c r="L4" s="34" t="s">
        <v>54</v>
      </c>
    </row>
    <row r="5" spans="1:13">
      <c r="B5" s="21">
        <v>1</v>
      </c>
      <c r="C5" s="20" t="s">
        <v>55</v>
      </c>
      <c r="D5" s="24"/>
      <c r="E5" s="25"/>
      <c r="F5" s="25"/>
      <c r="G5" s="24"/>
      <c r="H5" s="24"/>
      <c r="I5" s="24"/>
      <c r="J5" s="24"/>
      <c r="K5" s="24"/>
      <c r="L5" s="24"/>
    </row>
    <row r="6" spans="1:13">
      <c r="B6" s="18"/>
      <c r="C6" s="19" t="s">
        <v>56</v>
      </c>
      <c r="D6" s="26">
        <v>1</v>
      </c>
      <c r="E6" s="27" t="s">
        <v>57</v>
      </c>
      <c r="F6" s="27"/>
      <c r="G6" s="24"/>
      <c r="H6" s="24"/>
      <c r="I6" s="24"/>
      <c r="J6" s="24"/>
      <c r="K6" s="24"/>
      <c r="L6" s="24"/>
    </row>
    <row r="7" spans="1:13">
      <c r="B7" s="6"/>
      <c r="C7" s="2" t="s">
        <v>58</v>
      </c>
      <c r="D7" s="77">
        <v>4</v>
      </c>
      <c r="E7" s="78" t="s">
        <v>59</v>
      </c>
      <c r="F7" s="79" t="s">
        <v>60</v>
      </c>
      <c r="G7" s="77">
        <v>16</v>
      </c>
      <c r="H7" s="77">
        <v>32</v>
      </c>
      <c r="I7" s="26">
        <v>256</v>
      </c>
      <c r="J7" s="26">
        <f t="shared" ref="J7:J9" si="0">G7*D7</f>
        <v>64</v>
      </c>
      <c r="K7" s="26">
        <f t="shared" ref="K7:K9" si="1">H7*D7</f>
        <v>128</v>
      </c>
      <c r="L7" s="93">
        <f>I7*D7/1024</f>
        <v>1</v>
      </c>
    </row>
    <row r="8" spans="1:13">
      <c r="B8" s="6"/>
      <c r="C8" s="2" t="s">
        <v>61</v>
      </c>
      <c r="D8" s="26">
        <v>2</v>
      </c>
      <c r="E8" s="29" t="s">
        <v>59</v>
      </c>
      <c r="F8" s="79" t="s">
        <v>60</v>
      </c>
      <c r="G8" s="26">
        <v>8</v>
      </c>
      <c r="H8" s="26">
        <v>16</v>
      </c>
      <c r="I8" s="26">
        <v>512</v>
      </c>
      <c r="J8" s="26">
        <f t="shared" si="0"/>
        <v>16</v>
      </c>
      <c r="K8" s="26">
        <f t="shared" si="1"/>
        <v>32</v>
      </c>
      <c r="L8" s="93">
        <f>I8*D8/1024</f>
        <v>1</v>
      </c>
    </row>
    <row r="9" spans="1:13">
      <c r="A9" t="s">
        <v>62</v>
      </c>
      <c r="B9" s="6"/>
      <c r="C9" s="2" t="s">
        <v>63</v>
      </c>
      <c r="D9" s="26">
        <v>2</v>
      </c>
      <c r="E9" s="29" t="s">
        <v>59</v>
      </c>
      <c r="F9" s="79" t="s">
        <v>60</v>
      </c>
      <c r="G9" s="26">
        <v>8</v>
      </c>
      <c r="H9" s="26">
        <v>16</v>
      </c>
      <c r="I9" s="26">
        <v>1024</v>
      </c>
      <c r="J9" s="26">
        <f t="shared" si="0"/>
        <v>16</v>
      </c>
      <c r="K9" s="26">
        <f t="shared" si="1"/>
        <v>32</v>
      </c>
      <c r="L9" s="93">
        <f>I9*D9/1024</f>
        <v>2</v>
      </c>
    </row>
    <row r="10" spans="1:13" ht="13.5" customHeight="1">
      <c r="B10" s="6"/>
      <c r="C10" s="2"/>
      <c r="D10" s="26"/>
      <c r="E10" s="29"/>
      <c r="F10" s="79"/>
      <c r="G10" s="26"/>
      <c r="H10" s="26"/>
      <c r="I10" s="26"/>
      <c r="J10" s="26"/>
      <c r="K10" s="26"/>
      <c r="L10" s="26"/>
    </row>
    <row r="11" spans="1:13">
      <c r="B11" s="7">
        <v>2</v>
      </c>
      <c r="C11" s="84" t="s">
        <v>64</v>
      </c>
      <c r="D11" s="28"/>
      <c r="E11" s="28"/>
      <c r="F11" s="28"/>
      <c r="G11" s="28"/>
      <c r="H11" s="28"/>
      <c r="I11" s="28"/>
      <c r="J11" s="28"/>
      <c r="K11" s="28"/>
      <c r="L11" s="28"/>
      <c r="M11" s="92"/>
    </row>
    <row r="12" spans="1:13">
      <c r="B12" s="6"/>
      <c r="C12" s="35" t="s">
        <v>65</v>
      </c>
      <c r="D12" s="26">
        <v>2</v>
      </c>
      <c r="E12" s="30" t="s">
        <v>66</v>
      </c>
      <c r="F12" s="36"/>
      <c r="G12" s="26">
        <v>32</v>
      </c>
      <c r="H12" s="26">
        <v>128</v>
      </c>
      <c r="I12" s="26">
        <v>300</v>
      </c>
      <c r="J12" s="26">
        <f>G12*D12</f>
        <v>64</v>
      </c>
      <c r="K12" s="26">
        <f>H12*D12</f>
        <v>256</v>
      </c>
      <c r="L12" s="93">
        <f>I12*D12/1024</f>
        <v>0.5859375</v>
      </c>
      <c r="M12" s="92"/>
    </row>
    <row r="13" spans="1:13">
      <c r="B13" s="6"/>
      <c r="C13" s="35" t="s">
        <v>67</v>
      </c>
      <c r="D13" s="26">
        <v>4</v>
      </c>
      <c r="E13" s="30" t="s">
        <v>66</v>
      </c>
      <c r="F13" s="36"/>
      <c r="G13" s="26">
        <v>2</v>
      </c>
      <c r="H13" s="26">
        <v>8</v>
      </c>
      <c r="I13" s="26">
        <v>100</v>
      </c>
      <c r="J13" s="26">
        <f>G13*D13</f>
        <v>8</v>
      </c>
      <c r="K13" s="26">
        <f>H13*D13</f>
        <v>32</v>
      </c>
      <c r="L13" s="93">
        <f>I13*D13/1024</f>
        <v>0.390625</v>
      </c>
      <c r="M13" s="92"/>
    </row>
    <row r="14" spans="1:13">
      <c r="B14" s="6"/>
      <c r="C14" s="80" t="s">
        <v>68</v>
      </c>
      <c r="D14" s="26">
        <v>2</v>
      </c>
      <c r="E14" s="31" t="s">
        <v>69</v>
      </c>
      <c r="F14" s="31"/>
      <c r="G14" s="32"/>
      <c r="H14" s="26"/>
      <c r="I14" s="26">
        <v>2800</v>
      </c>
      <c r="J14" s="32"/>
      <c r="K14" s="26"/>
      <c r="L14" s="93">
        <f>I14*D14/1024</f>
        <v>5.46875</v>
      </c>
      <c r="M14" s="92"/>
    </row>
    <row r="15" spans="1:13">
      <c r="B15" s="6"/>
      <c r="C15" s="80"/>
      <c r="D15" s="26"/>
      <c r="E15" s="31"/>
      <c r="F15" s="31"/>
      <c r="G15" s="32"/>
      <c r="H15" s="26"/>
      <c r="I15" s="26"/>
      <c r="J15" s="32"/>
      <c r="K15" s="26"/>
      <c r="L15" s="93"/>
      <c r="M15" s="92"/>
    </row>
    <row r="16" spans="1:13">
      <c r="B16" s="6"/>
      <c r="C16" s="2"/>
      <c r="D16" s="26"/>
      <c r="E16" s="31"/>
      <c r="F16" s="31"/>
      <c r="G16" s="32"/>
      <c r="H16" s="26"/>
      <c r="J16" s="32"/>
      <c r="K16" s="26"/>
      <c r="L16" s="93"/>
      <c r="M16" s="92"/>
    </row>
    <row r="17" spans="2:13">
      <c r="B17" s="7">
        <v>3</v>
      </c>
      <c r="C17" s="84" t="s">
        <v>70</v>
      </c>
      <c r="D17" s="28"/>
      <c r="E17" s="28"/>
      <c r="F17" s="28"/>
      <c r="G17" s="28"/>
      <c r="H17" s="28"/>
      <c r="I17" s="28"/>
      <c r="J17" s="28"/>
      <c r="K17" s="28"/>
      <c r="L17" s="28"/>
      <c r="M17" s="92"/>
    </row>
    <row r="18" spans="2:13">
      <c r="B18" s="6"/>
      <c r="C18" s="35" t="s">
        <v>65</v>
      </c>
      <c r="D18" s="26">
        <v>1</v>
      </c>
      <c r="E18" s="30" t="s">
        <v>66</v>
      </c>
      <c r="F18" s="36"/>
      <c r="G18" s="26">
        <f>G12</f>
        <v>32</v>
      </c>
      <c r="H18" s="26">
        <f>H12</f>
        <v>128</v>
      </c>
      <c r="I18" s="26">
        <v>300</v>
      </c>
      <c r="J18" s="26">
        <f>G18*D18</f>
        <v>32</v>
      </c>
      <c r="K18" s="26">
        <f>H18*D18</f>
        <v>128</v>
      </c>
      <c r="L18" s="93">
        <f>I18*D18/1024</f>
        <v>0.29296875</v>
      </c>
      <c r="M18" s="92"/>
    </row>
    <row r="19" spans="2:13">
      <c r="B19" s="6"/>
      <c r="C19" s="80" t="s">
        <v>68</v>
      </c>
      <c r="D19" s="26">
        <v>1</v>
      </c>
      <c r="E19" s="31" t="s">
        <v>69</v>
      </c>
      <c r="F19" s="31"/>
      <c r="G19" s="32"/>
      <c r="H19" s="26"/>
      <c r="I19" s="26">
        <f>I14</f>
        <v>2800</v>
      </c>
      <c r="J19" s="32"/>
      <c r="K19" s="26"/>
      <c r="L19" s="93">
        <f>I19*D19/1024</f>
        <v>2.734375</v>
      </c>
      <c r="M19" s="92"/>
    </row>
    <row r="20" spans="2:13">
      <c r="B20" s="6"/>
      <c r="C20" s="2"/>
      <c r="D20" s="26"/>
      <c r="E20" s="31"/>
      <c r="F20" s="31"/>
      <c r="G20" s="32"/>
      <c r="H20" s="26"/>
      <c r="I20" s="26"/>
      <c r="J20" s="32"/>
      <c r="K20" s="26"/>
      <c r="L20" s="93"/>
      <c r="M20" s="92"/>
    </row>
    <row r="21" spans="2:13">
      <c r="B21" s="6"/>
      <c r="C21" s="80"/>
      <c r="D21" s="26"/>
      <c r="E21" s="31"/>
      <c r="F21" s="31"/>
      <c r="G21" s="32"/>
      <c r="H21" s="26"/>
      <c r="I21" s="26"/>
      <c r="J21" s="32"/>
      <c r="K21" s="26"/>
      <c r="L21" s="93"/>
      <c r="M21" s="92"/>
    </row>
    <row r="22" spans="2:13">
      <c r="B22" s="6"/>
      <c r="C22" s="80"/>
      <c r="D22" s="26"/>
      <c r="E22" s="31"/>
      <c r="F22" s="31"/>
      <c r="G22" s="32"/>
      <c r="H22" s="26"/>
      <c r="I22" s="26"/>
      <c r="J22" s="32"/>
      <c r="K22" s="26"/>
      <c r="L22" s="93"/>
      <c r="M22" s="92"/>
    </row>
    <row r="23" spans="2:13">
      <c r="B23" s="6"/>
      <c r="C23" s="80"/>
      <c r="D23" s="26"/>
      <c r="E23" s="31"/>
      <c r="F23" s="31"/>
      <c r="G23" s="32"/>
      <c r="H23" s="26"/>
      <c r="I23" s="26"/>
      <c r="J23" s="32"/>
      <c r="K23" s="26"/>
      <c r="L23" s="93"/>
      <c r="M23" s="92"/>
    </row>
    <row r="24" spans="2:13">
      <c r="B24" s="7">
        <v>4</v>
      </c>
      <c r="C24" s="16" t="s">
        <v>71</v>
      </c>
      <c r="D24" s="28"/>
      <c r="E24" s="28"/>
      <c r="F24" s="28"/>
      <c r="G24" s="28"/>
      <c r="H24" s="28"/>
      <c r="I24" s="28"/>
      <c r="J24" s="28"/>
      <c r="K24" s="28"/>
      <c r="L24" s="93"/>
    </row>
    <row r="25" spans="2:13">
      <c r="B25" s="6"/>
      <c r="C25" s="2" t="s">
        <v>72</v>
      </c>
      <c r="D25" s="26">
        <v>1</v>
      </c>
      <c r="E25" s="30" t="s">
        <v>73</v>
      </c>
      <c r="F25" s="36" t="s">
        <v>74</v>
      </c>
      <c r="G25" s="26"/>
      <c r="H25" s="26"/>
      <c r="I25" s="26">
        <v>7900</v>
      </c>
      <c r="J25" s="26"/>
      <c r="K25" s="26"/>
      <c r="L25" s="93">
        <f t="shared" ref="L25:L37" si="2">I25*D25/1024</f>
        <v>7.71484375</v>
      </c>
    </row>
    <row r="26" spans="2:13">
      <c r="B26" s="6"/>
      <c r="C26" s="1"/>
      <c r="D26" s="26"/>
      <c r="E26" s="30"/>
      <c r="F26" s="30"/>
      <c r="G26" s="26"/>
      <c r="H26" s="26"/>
      <c r="I26" s="26"/>
      <c r="J26" s="26"/>
      <c r="K26" s="26"/>
      <c r="L26" s="93"/>
    </row>
    <row r="27" spans="2:13">
      <c r="B27" s="7">
        <v>5</v>
      </c>
      <c r="C27" s="16" t="s">
        <v>75</v>
      </c>
      <c r="D27" s="28"/>
      <c r="E27" s="28"/>
      <c r="F27" s="28"/>
      <c r="G27" s="28"/>
      <c r="H27" s="28"/>
      <c r="I27" s="28"/>
      <c r="J27" s="28"/>
      <c r="K27" s="28"/>
      <c r="L27" s="93"/>
    </row>
    <row r="28" spans="2:13">
      <c r="B28" s="6"/>
      <c r="C28" s="2" t="s">
        <v>76</v>
      </c>
      <c r="D28" s="26">
        <v>2</v>
      </c>
      <c r="E28" s="30"/>
      <c r="F28" s="79" t="s">
        <v>60</v>
      </c>
      <c r="G28" s="26">
        <v>4</v>
      </c>
      <c r="H28" s="77">
        <v>16</v>
      </c>
      <c r="I28" s="77"/>
      <c r="J28" s="26">
        <f>G28*D28</f>
        <v>8</v>
      </c>
      <c r="K28" s="26">
        <f>H28*D28</f>
        <v>32</v>
      </c>
      <c r="L28" s="93"/>
    </row>
    <row r="29" spans="2:13">
      <c r="B29" s="6"/>
      <c r="C29" s="3"/>
      <c r="D29" s="26"/>
      <c r="E29" s="30"/>
      <c r="F29" s="30"/>
      <c r="G29" s="26"/>
      <c r="H29" s="26"/>
      <c r="I29" s="26"/>
      <c r="J29" s="26"/>
      <c r="K29" s="26"/>
      <c r="L29" s="93"/>
    </row>
    <row r="30" spans="2:13">
      <c r="B30" s="7">
        <v>6</v>
      </c>
      <c r="C30" s="16" t="s">
        <v>77</v>
      </c>
      <c r="D30" s="28"/>
      <c r="E30" s="28"/>
      <c r="F30" s="28"/>
      <c r="G30" s="28"/>
      <c r="H30" s="28"/>
      <c r="I30" s="28"/>
      <c r="J30" s="28"/>
      <c r="K30" s="28"/>
      <c r="L30" s="93"/>
    </row>
    <row r="31" spans="2:13" s="5" customFormat="1">
      <c r="B31" s="6"/>
      <c r="C31" s="17" t="s">
        <v>78</v>
      </c>
      <c r="D31" s="26">
        <v>2</v>
      </c>
      <c r="E31" s="33"/>
      <c r="F31" s="33"/>
      <c r="G31" s="26"/>
      <c r="H31" s="26"/>
      <c r="I31" s="26"/>
      <c r="J31" s="26"/>
      <c r="K31" s="26"/>
      <c r="L31" s="93"/>
    </row>
    <row r="32" spans="2:13">
      <c r="B32" s="6"/>
      <c r="C32" s="2" t="s">
        <v>79</v>
      </c>
      <c r="D32" s="26">
        <v>5</v>
      </c>
      <c r="E32" s="30"/>
      <c r="F32" s="30"/>
      <c r="G32" s="26"/>
      <c r="H32" s="26"/>
      <c r="I32" s="26"/>
      <c r="J32" s="26"/>
      <c r="K32" s="26"/>
      <c r="L32" s="93"/>
    </row>
    <row r="33" spans="2:13">
      <c r="B33" s="6"/>
      <c r="C33" s="2" t="s">
        <v>80</v>
      </c>
      <c r="D33" s="26">
        <v>1</v>
      </c>
      <c r="E33" s="29" t="s">
        <v>81</v>
      </c>
      <c r="F33" s="29"/>
      <c r="G33" s="26"/>
      <c r="H33" s="26"/>
      <c r="I33" s="26"/>
      <c r="J33" s="26"/>
      <c r="K33" s="26"/>
      <c r="L33" s="93"/>
    </row>
    <row r="34" spans="2:13">
      <c r="B34" s="6"/>
      <c r="C34" s="2" t="s">
        <v>82</v>
      </c>
      <c r="D34" s="26">
        <v>1</v>
      </c>
      <c r="E34" s="29" t="s">
        <v>83</v>
      </c>
      <c r="F34" s="29" t="s">
        <v>74</v>
      </c>
      <c r="G34" s="26"/>
      <c r="H34" s="26"/>
      <c r="I34" s="26">
        <v>512</v>
      </c>
      <c r="J34" s="26"/>
      <c r="K34" s="26"/>
      <c r="L34" s="93">
        <f t="shared" si="2"/>
        <v>0.5</v>
      </c>
    </row>
    <row r="35" spans="2:13">
      <c r="B35" s="6"/>
      <c r="C35" s="2" t="s">
        <v>84</v>
      </c>
      <c r="D35" s="26">
        <v>2</v>
      </c>
      <c r="E35" s="29"/>
      <c r="F35" s="29"/>
      <c r="G35" s="26"/>
      <c r="H35" s="26"/>
      <c r="I35" s="26"/>
      <c r="J35" s="26"/>
      <c r="K35" s="26"/>
      <c r="L35" s="93"/>
    </row>
    <row r="36" spans="2:13">
      <c r="B36" s="6"/>
      <c r="C36" s="2" t="s">
        <v>85</v>
      </c>
      <c r="D36" s="26">
        <v>1</v>
      </c>
      <c r="E36" s="29"/>
      <c r="F36" s="29"/>
      <c r="G36" s="26"/>
      <c r="H36" s="26"/>
      <c r="I36" s="26"/>
      <c r="J36" s="26"/>
      <c r="K36" s="77"/>
      <c r="L36" s="93"/>
    </row>
    <row r="37" spans="2:13">
      <c r="B37" s="5"/>
      <c r="C37" s="2" t="s">
        <v>86</v>
      </c>
      <c r="D37" s="26">
        <v>1</v>
      </c>
      <c r="E37" s="29" t="s">
        <v>87</v>
      </c>
      <c r="F37" s="79" t="s">
        <v>60</v>
      </c>
      <c r="G37" s="26">
        <v>2</v>
      </c>
      <c r="H37" s="26">
        <v>4</v>
      </c>
      <c r="I37" s="26">
        <v>300</v>
      </c>
      <c r="J37" s="26">
        <f>G37*D37</f>
        <v>2</v>
      </c>
      <c r="K37" s="77">
        <v>4</v>
      </c>
      <c r="L37" s="93">
        <f t="shared" si="2"/>
        <v>0.29296875</v>
      </c>
    </row>
    <row r="38" spans="2:13">
      <c r="B38" s="5"/>
      <c r="C38" s="2" t="s">
        <v>88</v>
      </c>
      <c r="D38" s="26">
        <v>1</v>
      </c>
      <c r="E38" s="29"/>
      <c r="F38" s="29"/>
      <c r="G38" s="26"/>
      <c r="H38" s="26"/>
      <c r="I38" s="26"/>
      <c r="J38" s="26"/>
      <c r="K38" s="77"/>
      <c r="L38" s="77"/>
    </row>
    <row r="39" spans="2:13">
      <c r="B39" s="6"/>
      <c r="C39" s="2" t="s">
        <v>89</v>
      </c>
      <c r="D39" s="26">
        <v>1</v>
      </c>
      <c r="E39" s="29"/>
      <c r="F39" s="29"/>
      <c r="G39" s="26"/>
      <c r="H39" s="26"/>
      <c r="I39" s="26"/>
      <c r="J39" s="26"/>
      <c r="K39" s="77"/>
      <c r="L39" s="77"/>
    </row>
    <row r="40" spans="2:13">
      <c r="B40" s="6"/>
      <c r="C40" s="80" t="s">
        <v>90</v>
      </c>
      <c r="D40" s="74">
        <v>1</v>
      </c>
      <c r="E40" s="75"/>
      <c r="F40" s="75"/>
      <c r="G40" s="74"/>
      <c r="H40" s="74"/>
      <c r="I40" s="74"/>
      <c r="J40" s="74"/>
      <c r="K40" s="88"/>
      <c r="L40" s="88"/>
    </row>
    <row r="41" spans="2:13">
      <c r="B41" s="6"/>
      <c r="C41" s="80" t="s">
        <v>91</v>
      </c>
      <c r="D41" s="74">
        <v>1</v>
      </c>
      <c r="E41" s="75"/>
      <c r="F41" s="75"/>
      <c r="G41" s="74"/>
      <c r="H41" s="74"/>
      <c r="I41" s="74"/>
      <c r="J41" s="74"/>
      <c r="K41" s="88"/>
      <c r="L41" s="88"/>
    </row>
    <row r="42" spans="2:13">
      <c r="B42" s="6"/>
      <c r="C42" s="80" t="s">
        <v>92</v>
      </c>
      <c r="D42" s="74">
        <v>1</v>
      </c>
      <c r="E42" s="75"/>
      <c r="F42" s="75"/>
      <c r="G42" s="74"/>
      <c r="H42" s="74"/>
      <c r="I42" s="74"/>
      <c r="J42" s="74"/>
      <c r="K42" s="88"/>
      <c r="L42" s="88"/>
    </row>
    <row r="43" spans="2:13">
      <c r="B43" s="6"/>
      <c r="C43" s="80" t="s">
        <v>93</v>
      </c>
      <c r="D43" s="74">
        <v>1</v>
      </c>
      <c r="E43" s="75"/>
      <c r="F43" s="75"/>
      <c r="G43" s="74"/>
      <c r="H43" s="74"/>
      <c r="I43" s="74"/>
      <c r="J43" s="74"/>
      <c r="K43" s="88"/>
      <c r="L43" s="88"/>
    </row>
    <row r="44" spans="2:13" ht="15.75" customHeight="1">
      <c r="B44" s="6"/>
      <c r="C44" s="2" t="s">
        <v>94</v>
      </c>
      <c r="D44" s="74">
        <v>1</v>
      </c>
      <c r="E44" s="75"/>
      <c r="F44" s="75"/>
      <c r="G44" s="74"/>
      <c r="H44" s="74"/>
      <c r="I44" s="74"/>
      <c r="J44" s="74"/>
      <c r="K44" s="88"/>
      <c r="L44" s="88"/>
    </row>
    <row r="45" spans="2:13">
      <c r="B45" s="6"/>
      <c r="C45" s="2" t="s">
        <v>95</v>
      </c>
      <c r="D45" s="26">
        <v>1</v>
      </c>
      <c r="E45" s="29"/>
      <c r="F45" s="29"/>
      <c r="G45" s="26"/>
      <c r="H45" s="26"/>
      <c r="I45" s="26"/>
      <c r="J45" s="26"/>
      <c r="K45" s="77"/>
      <c r="L45" s="77"/>
    </row>
    <row r="46" spans="2:13">
      <c r="B46" s="6"/>
      <c r="C46" s="2" t="s">
        <v>96</v>
      </c>
      <c r="D46" s="26">
        <v>1</v>
      </c>
      <c r="E46" s="29"/>
      <c r="F46" s="29"/>
      <c r="G46" s="26"/>
      <c r="H46" s="26"/>
      <c r="I46" s="26"/>
      <c r="J46" s="26"/>
      <c r="K46" s="77"/>
      <c r="L46" s="77"/>
    </row>
    <row r="47" spans="2:13">
      <c r="B47" s="6"/>
      <c r="C47" s="2" t="s">
        <v>97</v>
      </c>
      <c r="D47" s="26">
        <v>1</v>
      </c>
      <c r="E47" s="29" t="s">
        <v>98</v>
      </c>
      <c r="F47" s="29"/>
      <c r="G47" s="26"/>
      <c r="H47" s="26"/>
      <c r="I47" s="26"/>
      <c r="J47" s="26"/>
      <c r="K47" s="77"/>
      <c r="L47" s="77"/>
    </row>
    <row r="48" spans="2:13">
      <c r="B48" s="6"/>
      <c r="C48" s="70" t="s">
        <v>99</v>
      </c>
      <c r="D48" s="26">
        <v>1</v>
      </c>
      <c r="E48" s="30" t="s">
        <v>73</v>
      </c>
      <c r="F48" s="30"/>
      <c r="G48" s="26"/>
      <c r="H48" s="26"/>
      <c r="I48" s="26">
        <v>5120</v>
      </c>
      <c r="J48" s="26"/>
      <c r="K48" s="77"/>
      <c r="L48" s="94">
        <f>I48*D48/1024</f>
        <v>5</v>
      </c>
      <c r="M48" s="95" t="s">
        <v>100</v>
      </c>
    </row>
    <row r="49" spans="2:12">
      <c r="B49" s="6"/>
      <c r="C49" s="2"/>
      <c r="D49" s="69"/>
      <c r="E49" s="71"/>
      <c r="F49" s="29"/>
      <c r="G49" s="72"/>
      <c r="H49" s="69"/>
      <c r="I49" s="69"/>
      <c r="J49" s="72"/>
      <c r="K49" s="89"/>
      <c r="L49" s="90"/>
    </row>
    <row r="50" spans="2:12">
      <c r="B50" s="6"/>
    </row>
    <row r="52" spans="2:12">
      <c r="C52" s="91"/>
      <c r="L52" s="97">
        <v>171308.4</v>
      </c>
    </row>
    <row r="53" spans="2:12">
      <c r="L53" s="6" t="s">
        <v>104</v>
      </c>
    </row>
    <row r="56" spans="2:12">
      <c r="C56" s="87"/>
    </row>
    <row r="58" spans="2:12">
      <c r="C58" s="76"/>
    </row>
    <row r="59" spans="2:12">
      <c r="B59" s="4"/>
      <c r="C59" s="6"/>
      <c r="E59" s="6"/>
      <c r="F59" s="6"/>
      <c r="I59"/>
      <c r="J59"/>
      <c r="K59"/>
      <c r="L59"/>
    </row>
    <row r="60" spans="2:12">
      <c r="B60" s="4"/>
      <c r="C60" s="6"/>
      <c r="E60" s="6"/>
      <c r="F60" s="6"/>
      <c r="I60"/>
      <c r="J60"/>
      <c r="K60"/>
      <c r="L60"/>
    </row>
    <row r="61" spans="2:12">
      <c r="B61" s="4"/>
      <c r="C61" s="6"/>
      <c r="E61" s="6"/>
      <c r="F61" s="6"/>
      <c r="I61"/>
      <c r="J61"/>
      <c r="K61"/>
      <c r="L61"/>
    </row>
    <row r="62" spans="2:12">
      <c r="B62" s="4"/>
      <c r="C62" s="6"/>
      <c r="E62" s="6"/>
      <c r="F62" s="6"/>
      <c r="I62"/>
      <c r="J62"/>
      <c r="K62"/>
      <c r="L62"/>
    </row>
    <row r="63" spans="2:12">
      <c r="B63" s="4"/>
      <c r="C63" s="6"/>
      <c r="E63" s="6"/>
      <c r="F63" s="6"/>
      <c r="I63"/>
      <c r="J63"/>
      <c r="K63"/>
      <c r="L63"/>
    </row>
    <row r="64" spans="2:12">
      <c r="B64" s="4"/>
      <c r="C64" s="6"/>
      <c r="E64" s="6"/>
      <c r="F64" s="6"/>
      <c r="I64"/>
      <c r="J64"/>
      <c r="K64"/>
      <c r="L64"/>
    </row>
    <row r="65" spans="2:12">
      <c r="B65" s="4"/>
      <c r="C65" s="6"/>
      <c r="E65" s="6"/>
      <c r="F65" s="6"/>
      <c r="I65"/>
      <c r="J65"/>
      <c r="K65"/>
      <c r="L65"/>
    </row>
    <row r="66" spans="2:12">
      <c r="B66" s="4"/>
      <c r="C66" s="6"/>
      <c r="E66" s="6"/>
      <c r="F66" s="6"/>
      <c r="I66"/>
      <c r="J66"/>
      <c r="K66"/>
      <c r="L66"/>
    </row>
    <row r="67" spans="2:12">
      <c r="B67" s="4"/>
      <c r="C67" s="6"/>
      <c r="E67" s="6"/>
      <c r="F67" s="6"/>
      <c r="I67"/>
      <c r="J67"/>
      <c r="K67"/>
      <c r="L67"/>
    </row>
    <row r="68" spans="2:12">
      <c r="B68" s="4"/>
      <c r="C68" s="6"/>
      <c r="E68" s="6"/>
      <c r="F68" s="6"/>
      <c r="I68"/>
      <c r="J68"/>
      <c r="K68"/>
      <c r="L68"/>
    </row>
    <row r="69" spans="2:12">
      <c r="B69" s="4"/>
      <c r="C69" s="6"/>
      <c r="E69" s="6"/>
      <c r="F69" s="6"/>
      <c r="I69"/>
      <c r="J69"/>
      <c r="K69"/>
      <c r="L69"/>
    </row>
    <row r="70" spans="2:12">
      <c r="B70" s="4"/>
      <c r="C70" s="6"/>
      <c r="E70" s="6"/>
      <c r="F70" s="6"/>
      <c r="I70"/>
      <c r="J70"/>
      <c r="K70"/>
      <c r="L7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06F1E-3E1C-4E1C-A237-897A890A68E3}">
  <dimension ref="A1:M69"/>
  <sheetViews>
    <sheetView showGridLines="0" zoomScale="80" zoomScaleNormal="80" workbookViewId="0">
      <selection activeCell="I12" sqref="I12"/>
    </sheetView>
  </sheetViews>
  <sheetFormatPr defaultRowHeight="14.45"/>
  <cols>
    <col min="2" max="2" width="7.5703125" customWidth="1"/>
    <col min="3" max="3" width="82.42578125" customWidth="1"/>
    <col min="4" max="4" width="25.28515625" style="6" customWidth="1"/>
    <col min="5" max="5" width="20.42578125" style="4" bestFit="1" customWidth="1"/>
    <col min="6" max="6" width="25.28515625" style="4" customWidth="1"/>
    <col min="7" max="8" width="9.28515625" style="6" bestFit="1" customWidth="1"/>
    <col min="9" max="9" width="14" style="6" customWidth="1"/>
    <col min="10" max="10" width="8.42578125" style="6" bestFit="1" customWidth="1"/>
    <col min="11" max="11" width="8.42578125" style="6" customWidth="1"/>
    <col min="12" max="12" width="18.7109375" style="6" customWidth="1"/>
    <col min="13" max="13" width="18.42578125" customWidth="1"/>
    <col min="14" max="14" width="17.7109375" customWidth="1"/>
    <col min="15" max="15" width="16.28515625" bestFit="1" customWidth="1"/>
    <col min="16" max="16" width="23.7109375" customWidth="1"/>
    <col min="17" max="17" width="31" customWidth="1"/>
    <col min="19" max="19" width="27.5703125" customWidth="1"/>
    <col min="20" max="20" width="14" bestFit="1" customWidth="1"/>
    <col min="21" max="21" width="16.28515625" bestFit="1" customWidth="1"/>
    <col min="22" max="22" width="21.42578125" bestFit="1" customWidth="1"/>
    <col min="23" max="23" width="24.42578125" bestFit="1" customWidth="1"/>
  </cols>
  <sheetData>
    <row r="1" spans="1:13" ht="18">
      <c r="B1" s="8"/>
    </row>
    <row r="2" spans="1:13" ht="18">
      <c r="D2" s="9" t="s">
        <v>43</v>
      </c>
      <c r="E2" s="9"/>
      <c r="F2" s="9"/>
      <c r="G2" s="9"/>
      <c r="H2" s="9"/>
      <c r="I2" s="9"/>
      <c r="J2" s="9"/>
      <c r="K2" s="9"/>
      <c r="L2" s="9"/>
    </row>
    <row r="3" spans="1:13" ht="15.6">
      <c r="B3" s="10"/>
      <c r="C3" s="11"/>
      <c r="D3" s="12"/>
      <c r="E3" s="13"/>
      <c r="F3" s="13"/>
      <c r="G3" s="12"/>
      <c r="H3" s="12"/>
      <c r="I3" s="12"/>
      <c r="J3" s="12"/>
      <c r="K3" s="12"/>
      <c r="L3" s="12"/>
    </row>
    <row r="4" spans="1:13" ht="43.15">
      <c r="B4" s="14" t="s">
        <v>44</v>
      </c>
      <c r="C4" s="15" t="s">
        <v>45</v>
      </c>
      <c r="D4" s="22" t="s">
        <v>46</v>
      </c>
      <c r="E4" s="23" t="s">
        <v>47</v>
      </c>
      <c r="F4" s="23" t="s">
        <v>48</v>
      </c>
      <c r="G4" s="23" t="s">
        <v>49</v>
      </c>
      <c r="H4" s="23" t="s">
        <v>50</v>
      </c>
      <c r="I4" s="23" t="s">
        <v>51</v>
      </c>
      <c r="J4" s="34" t="s">
        <v>52</v>
      </c>
      <c r="K4" s="34" t="s">
        <v>53</v>
      </c>
      <c r="L4" s="34" t="s">
        <v>54</v>
      </c>
    </row>
    <row r="5" spans="1:13">
      <c r="B5" s="21">
        <v>1</v>
      </c>
      <c r="C5" s="20" t="s">
        <v>55</v>
      </c>
      <c r="D5" s="24"/>
      <c r="E5" s="25"/>
      <c r="F5" s="25"/>
      <c r="G5" s="24"/>
      <c r="H5" s="24"/>
      <c r="I5" s="24"/>
      <c r="J5" s="24"/>
      <c r="K5" s="24"/>
      <c r="L5" s="24"/>
    </row>
    <row r="6" spans="1:13">
      <c r="B6" s="18"/>
      <c r="C6" s="19" t="s">
        <v>56</v>
      </c>
      <c r="D6" s="26">
        <v>1</v>
      </c>
      <c r="E6" s="27" t="s">
        <v>57</v>
      </c>
      <c r="F6" s="27"/>
      <c r="G6" s="24"/>
      <c r="H6" s="24"/>
      <c r="I6" s="24"/>
      <c r="J6" s="24"/>
      <c r="K6" s="24"/>
      <c r="L6" s="24"/>
    </row>
    <row r="7" spans="1:13">
      <c r="B7" s="6"/>
      <c r="C7" s="2" t="s">
        <v>58</v>
      </c>
      <c r="D7" s="77">
        <v>6</v>
      </c>
      <c r="E7" s="78" t="s">
        <v>59</v>
      </c>
      <c r="F7" s="79" t="s">
        <v>60</v>
      </c>
      <c r="G7" s="77">
        <v>16</v>
      </c>
      <c r="H7" s="77">
        <v>32</v>
      </c>
      <c r="I7" s="26">
        <v>256</v>
      </c>
      <c r="J7" s="26">
        <f t="shared" ref="J7:J9" si="0">G7*D7</f>
        <v>96</v>
      </c>
      <c r="K7" s="26">
        <f t="shared" ref="K7:K9" si="1">H7*D7</f>
        <v>192</v>
      </c>
      <c r="L7" s="93">
        <f>I7*D7/1024</f>
        <v>1.5</v>
      </c>
    </row>
    <row r="8" spans="1:13">
      <c r="B8" s="6"/>
      <c r="C8" s="2" t="s">
        <v>61</v>
      </c>
      <c r="D8" s="26">
        <v>2</v>
      </c>
      <c r="E8" s="29" t="s">
        <v>59</v>
      </c>
      <c r="F8" s="79" t="s">
        <v>60</v>
      </c>
      <c r="G8" s="26">
        <v>8</v>
      </c>
      <c r="H8" s="26">
        <v>16</v>
      </c>
      <c r="I8" s="26">
        <v>512</v>
      </c>
      <c r="J8" s="26">
        <f t="shared" si="0"/>
        <v>16</v>
      </c>
      <c r="K8" s="26">
        <f t="shared" si="1"/>
        <v>32</v>
      </c>
      <c r="L8" s="93">
        <f>I8*D8/1024</f>
        <v>1</v>
      </c>
    </row>
    <row r="9" spans="1:13">
      <c r="A9" t="s">
        <v>62</v>
      </c>
      <c r="B9" s="6"/>
      <c r="C9" s="2" t="s">
        <v>63</v>
      </c>
      <c r="D9" s="26">
        <v>2</v>
      </c>
      <c r="E9" s="29" t="s">
        <v>59</v>
      </c>
      <c r="F9" s="79" t="s">
        <v>60</v>
      </c>
      <c r="G9" s="26">
        <v>8</v>
      </c>
      <c r="H9" s="26">
        <v>16</v>
      </c>
      <c r="I9" s="26">
        <v>1024</v>
      </c>
      <c r="J9" s="26">
        <f t="shared" si="0"/>
        <v>16</v>
      </c>
      <c r="K9" s="26">
        <f t="shared" si="1"/>
        <v>32</v>
      </c>
      <c r="L9" s="93">
        <f>I9*D9/1024</f>
        <v>2</v>
      </c>
    </row>
    <row r="10" spans="1:13" ht="13.5" customHeight="1">
      <c r="B10" s="6"/>
      <c r="C10" s="2"/>
      <c r="D10" s="26"/>
      <c r="E10" s="29"/>
      <c r="F10" s="79"/>
      <c r="G10" s="26"/>
      <c r="H10" s="26"/>
      <c r="I10" s="26"/>
      <c r="J10" s="26"/>
      <c r="K10" s="26"/>
      <c r="L10" s="26"/>
    </row>
    <row r="11" spans="1:13">
      <c r="B11" s="7">
        <v>2</v>
      </c>
      <c r="C11" s="84" t="s">
        <v>64</v>
      </c>
      <c r="D11" s="28"/>
      <c r="E11" s="28"/>
      <c r="F11" s="28"/>
      <c r="G11" s="28"/>
      <c r="H11" s="28"/>
      <c r="I11" s="28"/>
      <c r="J11" s="28"/>
      <c r="K11" s="28"/>
      <c r="L11" s="28"/>
      <c r="M11" s="92"/>
    </row>
    <row r="12" spans="1:13">
      <c r="B12" s="6"/>
      <c r="C12" s="35" t="s">
        <v>65</v>
      </c>
      <c r="D12" s="26">
        <v>2</v>
      </c>
      <c r="E12" s="30" t="s">
        <v>66</v>
      </c>
      <c r="F12" s="36"/>
      <c r="G12" s="26">
        <v>32</v>
      </c>
      <c r="H12" s="26">
        <v>128</v>
      </c>
      <c r="I12" s="26">
        <v>300</v>
      </c>
      <c r="J12" s="26">
        <f>G12*D12</f>
        <v>64</v>
      </c>
      <c r="K12" s="26">
        <f>H12*D12</f>
        <v>256</v>
      </c>
      <c r="L12" s="93">
        <f>I12*D12/1024</f>
        <v>0.5859375</v>
      </c>
      <c r="M12" s="92"/>
    </row>
    <row r="13" spans="1:13">
      <c r="B13" s="6"/>
      <c r="C13" s="35" t="s">
        <v>67</v>
      </c>
      <c r="D13" s="26">
        <v>4</v>
      </c>
      <c r="E13" s="30" t="s">
        <v>66</v>
      </c>
      <c r="F13" s="36"/>
      <c r="G13" s="26">
        <v>2</v>
      </c>
      <c r="H13" s="26">
        <v>8</v>
      </c>
      <c r="I13" s="26">
        <v>100</v>
      </c>
      <c r="J13" s="26">
        <f>G13*D13</f>
        <v>8</v>
      </c>
      <c r="K13" s="26">
        <f>H13*D13</f>
        <v>32</v>
      </c>
      <c r="L13" s="93">
        <f>I13*D13/1024</f>
        <v>0.390625</v>
      </c>
      <c r="M13" s="92"/>
    </row>
    <row r="14" spans="1:13">
      <c r="B14" s="6"/>
      <c r="C14" s="80" t="s">
        <v>68</v>
      </c>
      <c r="D14" s="26">
        <v>2</v>
      </c>
      <c r="E14" s="31" t="s">
        <v>69</v>
      </c>
      <c r="F14" s="31"/>
      <c r="G14" s="32"/>
      <c r="H14" s="26"/>
      <c r="I14" s="26">
        <v>3000</v>
      </c>
      <c r="J14" s="32"/>
      <c r="K14" s="26"/>
      <c r="L14" s="93">
        <f>I14*D14/1024</f>
        <v>5.859375</v>
      </c>
      <c r="M14" s="92"/>
    </row>
    <row r="15" spans="1:13">
      <c r="B15" s="6"/>
      <c r="C15" s="80"/>
      <c r="D15" s="26"/>
      <c r="E15" s="31"/>
      <c r="F15" s="31"/>
      <c r="G15" s="32"/>
      <c r="H15" s="26"/>
      <c r="I15" s="26"/>
      <c r="J15" s="32"/>
      <c r="K15" s="26"/>
      <c r="L15" s="93"/>
      <c r="M15" s="92"/>
    </row>
    <row r="16" spans="1:13">
      <c r="B16" s="6"/>
      <c r="C16" s="2"/>
      <c r="D16" s="26"/>
      <c r="E16" s="31"/>
      <c r="F16" s="31"/>
      <c r="G16" s="32"/>
      <c r="H16" s="26"/>
      <c r="J16" s="32"/>
      <c r="K16" s="26"/>
      <c r="L16" s="93"/>
      <c r="M16" s="92"/>
    </row>
    <row r="17" spans="2:13">
      <c r="B17" s="7">
        <v>3</v>
      </c>
      <c r="C17" s="84" t="s">
        <v>70</v>
      </c>
      <c r="D17" s="28"/>
      <c r="E17" s="28"/>
      <c r="F17" s="28"/>
      <c r="G17" s="28"/>
      <c r="H17" s="28"/>
      <c r="I17" s="28"/>
      <c r="J17" s="28"/>
      <c r="K17" s="28"/>
      <c r="L17" s="28"/>
      <c r="M17" s="92"/>
    </row>
    <row r="18" spans="2:13">
      <c r="B18" s="6"/>
      <c r="C18" s="35" t="s">
        <v>65</v>
      </c>
      <c r="D18" s="26">
        <v>1</v>
      </c>
      <c r="E18" s="30" t="s">
        <v>66</v>
      </c>
      <c r="F18" s="36"/>
      <c r="G18" s="26">
        <f>G12</f>
        <v>32</v>
      </c>
      <c r="H18" s="26">
        <f>H12</f>
        <v>128</v>
      </c>
      <c r="I18" s="26">
        <v>300</v>
      </c>
      <c r="J18" s="26">
        <f>G18*D18</f>
        <v>32</v>
      </c>
      <c r="K18" s="26">
        <f>H18*D18</f>
        <v>128</v>
      </c>
      <c r="L18" s="93">
        <f>I18*D18/1024</f>
        <v>0.29296875</v>
      </c>
      <c r="M18" s="92"/>
    </row>
    <row r="19" spans="2:13">
      <c r="B19" s="6"/>
      <c r="C19" s="80" t="s">
        <v>68</v>
      </c>
      <c r="D19" s="26">
        <v>1</v>
      </c>
      <c r="E19" s="31" t="s">
        <v>69</v>
      </c>
      <c r="F19" s="31"/>
      <c r="G19" s="32"/>
      <c r="H19" s="26"/>
      <c r="I19" s="26">
        <f>I14</f>
        <v>3000</v>
      </c>
      <c r="J19" s="32"/>
      <c r="K19" s="26"/>
      <c r="L19" s="93">
        <f>I19*D19/1024</f>
        <v>2.9296875</v>
      </c>
      <c r="M19" s="92"/>
    </row>
    <row r="20" spans="2:13">
      <c r="B20" s="6"/>
      <c r="C20" s="2"/>
      <c r="D20" s="26"/>
      <c r="E20" s="31"/>
      <c r="F20" s="31"/>
      <c r="G20" s="32"/>
      <c r="H20" s="26"/>
      <c r="I20" s="26"/>
      <c r="J20" s="32"/>
      <c r="K20" s="26"/>
      <c r="L20" s="93"/>
      <c r="M20" s="92"/>
    </row>
    <row r="21" spans="2:13">
      <c r="B21" s="6"/>
      <c r="C21" s="80"/>
      <c r="D21" s="26"/>
      <c r="E21" s="31"/>
      <c r="F21" s="31"/>
      <c r="G21" s="32"/>
      <c r="H21" s="26"/>
      <c r="I21" s="26"/>
      <c r="J21" s="32"/>
      <c r="K21" s="26"/>
      <c r="L21" s="93"/>
      <c r="M21" s="92"/>
    </row>
    <row r="22" spans="2:13">
      <c r="B22" s="6"/>
      <c r="C22" s="80"/>
      <c r="D22" s="26"/>
      <c r="E22" s="31"/>
      <c r="F22" s="31"/>
      <c r="G22" s="32"/>
      <c r="H22" s="26"/>
      <c r="I22" s="26"/>
      <c r="J22" s="32"/>
      <c r="K22" s="26"/>
      <c r="L22" s="93"/>
      <c r="M22" s="92"/>
    </row>
    <row r="23" spans="2:13">
      <c r="B23" s="7">
        <v>4</v>
      </c>
      <c r="C23" s="16" t="s">
        <v>71</v>
      </c>
      <c r="D23" s="28"/>
      <c r="E23" s="28"/>
      <c r="F23" s="28"/>
      <c r="G23" s="28"/>
      <c r="H23" s="28"/>
      <c r="I23" s="28"/>
      <c r="J23" s="28"/>
      <c r="K23" s="28"/>
      <c r="L23" s="93"/>
    </row>
    <row r="24" spans="2:13">
      <c r="B24" s="6"/>
      <c r="C24" s="2" t="s">
        <v>72</v>
      </c>
      <c r="D24" s="26">
        <v>1</v>
      </c>
      <c r="E24" s="30" t="s">
        <v>73</v>
      </c>
      <c r="F24" s="36" t="s">
        <v>74</v>
      </c>
      <c r="G24" s="26"/>
      <c r="H24" s="26"/>
      <c r="I24" s="26">
        <v>8700</v>
      </c>
      <c r="J24" s="26"/>
      <c r="K24" s="26"/>
      <c r="L24" s="93">
        <f t="shared" ref="L24:L36" si="2">I24*D24/1024</f>
        <v>8.49609375</v>
      </c>
    </row>
    <row r="25" spans="2:13">
      <c r="B25" s="6"/>
      <c r="C25" s="1"/>
      <c r="D25" s="26"/>
      <c r="E25" s="30"/>
      <c r="F25" s="30"/>
      <c r="G25" s="26"/>
      <c r="H25" s="26"/>
      <c r="I25" s="26"/>
      <c r="J25" s="26"/>
      <c r="K25" s="26"/>
      <c r="L25" s="93"/>
    </row>
    <row r="26" spans="2:13">
      <c r="B26" s="7">
        <v>5</v>
      </c>
      <c r="C26" s="16" t="s">
        <v>75</v>
      </c>
      <c r="D26" s="28"/>
      <c r="E26" s="28"/>
      <c r="F26" s="28"/>
      <c r="G26" s="28"/>
      <c r="H26" s="28"/>
      <c r="I26" s="28"/>
      <c r="J26" s="28"/>
      <c r="K26" s="28"/>
      <c r="L26" s="93"/>
    </row>
    <row r="27" spans="2:13">
      <c r="B27" s="6"/>
      <c r="C27" s="2" t="s">
        <v>76</v>
      </c>
      <c r="D27" s="26">
        <v>2</v>
      </c>
      <c r="E27" s="30"/>
      <c r="F27" s="79" t="s">
        <v>60</v>
      </c>
      <c r="G27" s="26">
        <v>4</v>
      </c>
      <c r="H27" s="77">
        <v>16</v>
      </c>
      <c r="I27" s="77"/>
      <c r="J27" s="26">
        <f>G27*D27</f>
        <v>8</v>
      </c>
      <c r="K27" s="26">
        <f>H27*D27</f>
        <v>32</v>
      </c>
      <c r="L27" s="93"/>
    </row>
    <row r="28" spans="2:13">
      <c r="B28" s="6"/>
      <c r="C28" s="3"/>
      <c r="D28" s="26"/>
      <c r="E28" s="30"/>
      <c r="F28" s="30"/>
      <c r="G28" s="26"/>
      <c r="H28" s="26"/>
      <c r="I28" s="26"/>
      <c r="J28" s="26"/>
      <c r="K28" s="26"/>
      <c r="L28" s="93"/>
    </row>
    <row r="29" spans="2:13">
      <c r="B29" s="7">
        <v>6</v>
      </c>
      <c r="C29" s="16" t="s">
        <v>77</v>
      </c>
      <c r="D29" s="28"/>
      <c r="E29" s="28"/>
      <c r="F29" s="28"/>
      <c r="G29" s="28"/>
      <c r="H29" s="28"/>
      <c r="I29" s="28"/>
      <c r="J29" s="28"/>
      <c r="K29" s="28"/>
      <c r="L29" s="93"/>
    </row>
    <row r="30" spans="2:13" s="5" customFormat="1">
      <c r="B30" s="6"/>
      <c r="C30" s="17" t="s">
        <v>78</v>
      </c>
      <c r="D30" s="26">
        <v>2</v>
      </c>
      <c r="E30" s="33"/>
      <c r="F30" s="33"/>
      <c r="G30" s="26"/>
      <c r="H30" s="26"/>
      <c r="I30" s="26"/>
      <c r="J30" s="26"/>
      <c r="K30" s="26"/>
      <c r="L30" s="93"/>
    </row>
    <row r="31" spans="2:13">
      <c r="B31" s="6"/>
      <c r="C31" s="2" t="s">
        <v>79</v>
      </c>
      <c r="D31" s="26">
        <v>5</v>
      </c>
      <c r="E31" s="30"/>
      <c r="F31" s="30"/>
      <c r="G31" s="26"/>
      <c r="H31" s="26"/>
      <c r="I31" s="26"/>
      <c r="J31" s="26"/>
      <c r="K31" s="26"/>
      <c r="L31" s="93"/>
    </row>
    <row r="32" spans="2:13">
      <c r="B32" s="6"/>
      <c r="C32" s="2" t="s">
        <v>80</v>
      </c>
      <c r="D32" s="26">
        <v>1</v>
      </c>
      <c r="E32" s="29" t="s">
        <v>81</v>
      </c>
      <c r="F32" s="29"/>
      <c r="G32" s="26"/>
      <c r="H32" s="26"/>
      <c r="I32" s="26"/>
      <c r="J32" s="26"/>
      <c r="K32" s="26"/>
      <c r="L32" s="93"/>
    </row>
    <row r="33" spans="2:13">
      <c r="B33" s="6"/>
      <c r="C33" s="2" t="s">
        <v>82</v>
      </c>
      <c r="D33" s="26">
        <v>1</v>
      </c>
      <c r="E33" s="29" t="s">
        <v>83</v>
      </c>
      <c r="F33" s="29" t="s">
        <v>74</v>
      </c>
      <c r="G33" s="26"/>
      <c r="H33" s="26"/>
      <c r="I33" s="26">
        <v>512</v>
      </c>
      <c r="J33" s="26"/>
      <c r="K33" s="26"/>
      <c r="L33" s="93">
        <f t="shared" si="2"/>
        <v>0.5</v>
      </c>
    </row>
    <row r="34" spans="2:13">
      <c r="B34" s="6"/>
      <c r="C34" s="2" t="s">
        <v>84</v>
      </c>
      <c r="D34" s="26">
        <v>2</v>
      </c>
      <c r="E34" s="29"/>
      <c r="F34" s="29"/>
      <c r="G34" s="26"/>
      <c r="H34" s="26"/>
      <c r="I34" s="26"/>
      <c r="J34" s="26"/>
      <c r="K34" s="26"/>
      <c r="L34" s="93"/>
    </row>
    <row r="35" spans="2:13">
      <c r="B35" s="6"/>
      <c r="C35" s="2" t="s">
        <v>85</v>
      </c>
      <c r="D35" s="26">
        <v>1</v>
      </c>
      <c r="E35" s="29"/>
      <c r="F35" s="29"/>
      <c r="G35" s="26"/>
      <c r="H35" s="26"/>
      <c r="I35" s="26"/>
      <c r="J35" s="26"/>
      <c r="K35" s="77"/>
      <c r="L35" s="93"/>
    </row>
    <row r="36" spans="2:13">
      <c r="B36" s="5"/>
      <c r="C36" s="2" t="s">
        <v>86</v>
      </c>
      <c r="D36" s="26">
        <v>1</v>
      </c>
      <c r="E36" s="29" t="s">
        <v>87</v>
      </c>
      <c r="F36" s="79" t="s">
        <v>60</v>
      </c>
      <c r="G36" s="26">
        <v>2</v>
      </c>
      <c r="H36" s="26">
        <v>4</v>
      </c>
      <c r="I36" s="26">
        <v>300</v>
      </c>
      <c r="J36" s="26">
        <f>G36*D36</f>
        <v>2</v>
      </c>
      <c r="K36" s="77">
        <v>4</v>
      </c>
      <c r="L36" s="93">
        <f t="shared" si="2"/>
        <v>0.29296875</v>
      </c>
    </row>
    <row r="37" spans="2:13">
      <c r="B37" s="5"/>
      <c r="C37" s="2" t="s">
        <v>88</v>
      </c>
      <c r="D37" s="26">
        <v>1</v>
      </c>
      <c r="E37" s="29"/>
      <c r="F37" s="29"/>
      <c r="G37" s="26"/>
      <c r="H37" s="26"/>
      <c r="I37" s="26"/>
      <c r="J37" s="26"/>
      <c r="K37" s="77"/>
      <c r="L37" s="77"/>
    </row>
    <row r="38" spans="2:13">
      <c r="B38" s="6"/>
      <c r="C38" s="2" t="s">
        <v>89</v>
      </c>
      <c r="D38" s="26">
        <v>1</v>
      </c>
      <c r="E38" s="29"/>
      <c r="F38" s="29"/>
      <c r="G38" s="26"/>
      <c r="H38" s="26"/>
      <c r="I38" s="26"/>
      <c r="J38" s="26"/>
      <c r="K38" s="77"/>
      <c r="L38" s="77"/>
    </row>
    <row r="39" spans="2:13">
      <c r="B39" s="6"/>
      <c r="C39" s="80" t="s">
        <v>90</v>
      </c>
      <c r="D39" s="74">
        <v>1</v>
      </c>
      <c r="E39" s="75"/>
      <c r="F39" s="75"/>
      <c r="G39" s="74"/>
      <c r="H39" s="74"/>
      <c r="I39" s="74"/>
      <c r="J39" s="74"/>
      <c r="K39" s="88"/>
      <c r="L39" s="88"/>
    </row>
    <row r="40" spans="2:13">
      <c r="B40" s="6"/>
      <c r="C40" s="80" t="s">
        <v>91</v>
      </c>
      <c r="D40" s="74">
        <v>1</v>
      </c>
      <c r="E40" s="75"/>
      <c r="F40" s="75"/>
      <c r="G40" s="74"/>
      <c r="H40" s="74"/>
      <c r="I40" s="74"/>
      <c r="J40" s="74"/>
      <c r="K40" s="88"/>
      <c r="L40" s="88"/>
    </row>
    <row r="41" spans="2:13">
      <c r="B41" s="6"/>
      <c r="C41" s="80" t="s">
        <v>92</v>
      </c>
      <c r="D41" s="74">
        <v>1</v>
      </c>
      <c r="E41" s="75"/>
      <c r="F41" s="75"/>
      <c r="G41" s="74"/>
      <c r="H41" s="74"/>
      <c r="I41" s="74"/>
      <c r="J41" s="74"/>
      <c r="K41" s="88"/>
      <c r="L41" s="88"/>
    </row>
    <row r="42" spans="2:13">
      <c r="B42" s="6"/>
      <c r="C42" s="80" t="s">
        <v>93</v>
      </c>
      <c r="D42" s="74">
        <v>1</v>
      </c>
      <c r="E42" s="75"/>
      <c r="F42" s="75"/>
      <c r="G42" s="74"/>
      <c r="H42" s="74"/>
      <c r="I42" s="74"/>
      <c r="J42" s="74"/>
      <c r="K42" s="88"/>
      <c r="L42" s="88"/>
    </row>
    <row r="43" spans="2:13" ht="15.75" customHeight="1">
      <c r="B43" s="6"/>
      <c r="C43" s="2" t="s">
        <v>94</v>
      </c>
      <c r="D43" s="74">
        <v>1</v>
      </c>
      <c r="E43" s="75"/>
      <c r="F43" s="75"/>
      <c r="G43" s="74"/>
      <c r="H43" s="74"/>
      <c r="I43" s="74"/>
      <c r="J43" s="74"/>
      <c r="K43" s="88"/>
      <c r="L43" s="88"/>
    </row>
    <row r="44" spans="2:13">
      <c r="B44" s="6"/>
      <c r="C44" s="2" t="s">
        <v>95</v>
      </c>
      <c r="D44" s="26">
        <v>1</v>
      </c>
      <c r="E44" s="29"/>
      <c r="F44" s="29"/>
      <c r="G44" s="26"/>
      <c r="H44" s="26"/>
      <c r="I44" s="26"/>
      <c r="J44" s="26"/>
      <c r="K44" s="77"/>
      <c r="L44" s="77"/>
    </row>
    <row r="45" spans="2:13">
      <c r="B45" s="6"/>
      <c r="C45" s="2" t="s">
        <v>96</v>
      </c>
      <c r="D45" s="26">
        <v>1</v>
      </c>
      <c r="E45" s="29"/>
      <c r="F45" s="29"/>
      <c r="G45" s="26"/>
      <c r="H45" s="26"/>
      <c r="I45" s="26"/>
      <c r="J45" s="26"/>
      <c r="K45" s="77"/>
      <c r="L45" s="77"/>
    </row>
    <row r="46" spans="2:13">
      <c r="B46" s="6"/>
      <c r="C46" s="2" t="s">
        <v>97</v>
      </c>
      <c r="D46" s="26">
        <v>1</v>
      </c>
      <c r="E46" s="29" t="s">
        <v>98</v>
      </c>
      <c r="F46" s="29"/>
      <c r="G46" s="26"/>
      <c r="H46" s="26"/>
      <c r="I46" s="26"/>
      <c r="J46" s="26"/>
      <c r="K46" s="77"/>
      <c r="L46" s="77"/>
    </row>
    <row r="47" spans="2:13">
      <c r="B47" s="6"/>
      <c r="C47" s="70" t="s">
        <v>99</v>
      </c>
      <c r="D47" s="26">
        <v>1</v>
      </c>
      <c r="E47" s="30" t="s">
        <v>73</v>
      </c>
      <c r="F47" s="30"/>
      <c r="G47" s="26"/>
      <c r="H47" s="26"/>
      <c r="I47" s="26">
        <v>5120</v>
      </c>
      <c r="J47" s="26"/>
      <c r="K47" s="77"/>
      <c r="L47" s="94">
        <f>I47*D47/1024</f>
        <v>5</v>
      </c>
      <c r="M47" s="95" t="s">
        <v>100</v>
      </c>
    </row>
    <row r="48" spans="2:13">
      <c r="B48" s="6"/>
      <c r="C48" s="2"/>
      <c r="D48" s="69"/>
      <c r="E48" s="71"/>
      <c r="F48" s="29"/>
      <c r="G48" s="72"/>
      <c r="H48" s="69"/>
      <c r="I48" s="69"/>
      <c r="J48" s="72"/>
      <c r="K48" s="89"/>
      <c r="L48" s="90"/>
    </row>
    <row r="49" spans="2:12">
      <c r="B49" s="6"/>
    </row>
    <row r="51" spans="2:12">
      <c r="C51" s="91"/>
    </row>
    <row r="52" spans="2:12">
      <c r="L52" s="97">
        <v>172851.6</v>
      </c>
    </row>
    <row r="53" spans="2:12">
      <c r="L53" s="6" t="s">
        <v>105</v>
      </c>
    </row>
    <row r="55" spans="2:12">
      <c r="C55" s="87"/>
    </row>
    <row r="57" spans="2:12">
      <c r="C57" s="76"/>
    </row>
    <row r="58" spans="2:12">
      <c r="B58" s="4"/>
      <c r="C58" s="6"/>
      <c r="E58" s="6"/>
      <c r="F58" s="6"/>
      <c r="I58"/>
      <c r="J58"/>
      <c r="K58"/>
      <c r="L58"/>
    </row>
    <row r="59" spans="2:12">
      <c r="B59" s="4"/>
      <c r="C59" s="6"/>
      <c r="E59" s="6"/>
      <c r="F59" s="6"/>
      <c r="I59"/>
      <c r="J59"/>
      <c r="K59"/>
      <c r="L59"/>
    </row>
    <row r="60" spans="2:12">
      <c r="B60" s="4"/>
      <c r="C60" s="6"/>
      <c r="E60" s="6"/>
      <c r="F60" s="6"/>
      <c r="I60"/>
      <c r="J60"/>
      <c r="K60"/>
      <c r="L60"/>
    </row>
    <row r="61" spans="2:12">
      <c r="B61" s="4"/>
      <c r="C61" s="6"/>
      <c r="E61" s="6"/>
      <c r="F61" s="6"/>
      <c r="I61"/>
      <c r="J61"/>
      <c r="K61"/>
      <c r="L61"/>
    </row>
    <row r="62" spans="2:12">
      <c r="B62" s="4"/>
      <c r="C62" s="6"/>
      <c r="E62" s="6"/>
      <c r="F62" s="6"/>
      <c r="I62"/>
      <c r="J62"/>
      <c r="K62"/>
      <c r="L62"/>
    </row>
    <row r="63" spans="2:12">
      <c r="B63" s="4"/>
      <c r="C63" s="6"/>
      <c r="E63" s="6"/>
      <c r="F63" s="6"/>
      <c r="I63"/>
      <c r="J63"/>
      <c r="K63"/>
      <c r="L63"/>
    </row>
    <row r="64" spans="2:12">
      <c r="B64" s="4"/>
      <c r="C64" s="6"/>
      <c r="E64" s="6"/>
      <c r="F64" s="6"/>
      <c r="I64"/>
      <c r="J64"/>
      <c r="K64"/>
      <c r="L64"/>
    </row>
    <row r="65" spans="2:12">
      <c r="B65" s="4"/>
      <c r="C65" s="6"/>
      <c r="E65" s="6"/>
      <c r="F65" s="6"/>
      <c r="I65"/>
      <c r="J65"/>
      <c r="K65"/>
      <c r="L65"/>
    </row>
    <row r="66" spans="2:12">
      <c r="B66" s="4"/>
      <c r="C66" s="6"/>
      <c r="E66" s="6"/>
      <c r="F66" s="6"/>
      <c r="I66"/>
      <c r="J66"/>
      <c r="K66"/>
      <c r="L66"/>
    </row>
    <row r="67" spans="2:12">
      <c r="B67" s="4"/>
      <c r="C67" s="6"/>
      <c r="E67" s="6"/>
      <c r="F67" s="6"/>
      <c r="I67"/>
      <c r="J67"/>
      <c r="K67"/>
      <c r="L67"/>
    </row>
    <row r="68" spans="2:12">
      <c r="B68" s="4"/>
      <c r="C68" s="6"/>
      <c r="E68" s="6"/>
      <c r="F68" s="6"/>
      <c r="I68"/>
      <c r="J68"/>
      <c r="K68"/>
      <c r="L68"/>
    </row>
    <row r="69" spans="2:12">
      <c r="B69" s="4"/>
      <c r="C69" s="6"/>
      <c r="E69" s="6"/>
      <c r="F69" s="6"/>
      <c r="I69"/>
      <c r="J69"/>
      <c r="K69"/>
      <c r="L69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EFB13-AE77-457A-ACE1-2788DC346BB4}">
  <dimension ref="A1:M69"/>
  <sheetViews>
    <sheetView showGridLines="0" zoomScale="80" zoomScaleNormal="80" workbookViewId="0">
      <selection activeCell="I12" sqref="I12"/>
    </sheetView>
  </sheetViews>
  <sheetFormatPr defaultRowHeight="14.45"/>
  <cols>
    <col min="2" max="2" width="7.5703125" customWidth="1"/>
    <col min="3" max="3" width="82.42578125" customWidth="1"/>
    <col min="4" max="4" width="25.28515625" style="6" customWidth="1"/>
    <col min="5" max="5" width="20.42578125" style="4" bestFit="1" customWidth="1"/>
    <col min="6" max="6" width="25.28515625" style="4" customWidth="1"/>
    <col min="7" max="8" width="9.28515625" style="6" bestFit="1" customWidth="1"/>
    <col min="9" max="9" width="14" style="6" customWidth="1"/>
    <col min="10" max="10" width="8.42578125" style="6" bestFit="1" customWidth="1"/>
    <col min="11" max="11" width="8.42578125" style="6" customWidth="1"/>
    <col min="12" max="12" width="18.7109375" style="6" customWidth="1"/>
    <col min="13" max="13" width="18.42578125" customWidth="1"/>
    <col min="14" max="14" width="17.7109375" customWidth="1"/>
    <col min="15" max="15" width="16.28515625" bestFit="1" customWidth="1"/>
    <col min="16" max="16" width="23.7109375" customWidth="1"/>
    <col min="17" max="17" width="31" customWidth="1"/>
    <col min="19" max="19" width="27.5703125" customWidth="1"/>
    <col min="20" max="20" width="14" bestFit="1" customWidth="1"/>
    <col min="21" max="21" width="16.28515625" bestFit="1" customWidth="1"/>
    <col min="22" max="22" width="21.42578125" bestFit="1" customWidth="1"/>
    <col min="23" max="23" width="24.42578125" bestFit="1" customWidth="1"/>
  </cols>
  <sheetData>
    <row r="1" spans="1:13" ht="18">
      <c r="B1" s="8"/>
    </row>
    <row r="2" spans="1:13" ht="18">
      <c r="D2" s="9" t="s">
        <v>43</v>
      </c>
      <c r="E2" s="9"/>
      <c r="F2" s="9"/>
      <c r="G2" s="9"/>
      <c r="H2" s="9"/>
      <c r="I2" s="9"/>
      <c r="J2" s="9"/>
      <c r="K2" s="9"/>
      <c r="L2" s="9"/>
    </row>
    <row r="3" spans="1:13" ht="15.6">
      <c r="B3" s="10"/>
      <c r="C3" s="11"/>
      <c r="D3" s="12"/>
      <c r="E3" s="13"/>
      <c r="F3" s="13"/>
      <c r="G3" s="12"/>
      <c r="H3" s="12"/>
      <c r="I3" s="12"/>
      <c r="J3" s="12"/>
      <c r="K3" s="12"/>
      <c r="L3" s="12"/>
    </row>
    <row r="4" spans="1:13" ht="43.15">
      <c r="B4" s="14" t="s">
        <v>44</v>
      </c>
      <c r="C4" s="15" t="s">
        <v>45</v>
      </c>
      <c r="D4" s="22" t="s">
        <v>46</v>
      </c>
      <c r="E4" s="23" t="s">
        <v>47</v>
      </c>
      <c r="F4" s="23" t="s">
        <v>48</v>
      </c>
      <c r="G4" s="23" t="s">
        <v>49</v>
      </c>
      <c r="H4" s="23" t="s">
        <v>50</v>
      </c>
      <c r="I4" s="23" t="s">
        <v>51</v>
      </c>
      <c r="J4" s="34" t="s">
        <v>52</v>
      </c>
      <c r="K4" s="34" t="s">
        <v>53</v>
      </c>
      <c r="L4" s="34" t="s">
        <v>54</v>
      </c>
    </row>
    <row r="5" spans="1:13">
      <c r="B5" s="21">
        <v>1</v>
      </c>
      <c r="C5" s="20" t="s">
        <v>55</v>
      </c>
      <c r="D5" s="24"/>
      <c r="E5" s="25"/>
      <c r="F5" s="25"/>
      <c r="G5" s="24"/>
      <c r="H5" s="24"/>
      <c r="I5" s="24"/>
      <c r="J5" s="24"/>
      <c r="K5" s="24"/>
      <c r="L5" s="24"/>
    </row>
    <row r="6" spans="1:13">
      <c r="B6" s="18"/>
      <c r="C6" s="19" t="s">
        <v>56</v>
      </c>
      <c r="D6" s="26">
        <v>1</v>
      </c>
      <c r="E6" s="27" t="s">
        <v>57</v>
      </c>
      <c r="F6" s="27"/>
      <c r="G6" s="24"/>
      <c r="H6" s="24"/>
      <c r="I6" s="24"/>
      <c r="J6" s="24"/>
      <c r="K6" s="24"/>
      <c r="L6" s="24"/>
    </row>
    <row r="7" spans="1:13">
      <c r="B7" s="6"/>
      <c r="C7" s="2" t="s">
        <v>58</v>
      </c>
      <c r="D7" s="77">
        <v>4</v>
      </c>
      <c r="E7" s="78" t="s">
        <v>59</v>
      </c>
      <c r="F7" s="79" t="s">
        <v>60</v>
      </c>
      <c r="G7" s="77">
        <v>16</v>
      </c>
      <c r="H7" s="77">
        <v>32</v>
      </c>
      <c r="I7" s="26">
        <v>256</v>
      </c>
      <c r="J7" s="26">
        <f t="shared" ref="J7:J9" si="0">G7*D7</f>
        <v>64</v>
      </c>
      <c r="K7" s="26">
        <f t="shared" ref="K7:K9" si="1">H7*D7</f>
        <v>128</v>
      </c>
      <c r="L7" s="93">
        <f>I7*D7/1024</f>
        <v>1</v>
      </c>
    </row>
    <row r="8" spans="1:13">
      <c r="B8" s="6"/>
      <c r="C8" s="2" t="s">
        <v>61</v>
      </c>
      <c r="D8" s="26">
        <v>2</v>
      </c>
      <c r="E8" s="29" t="s">
        <v>59</v>
      </c>
      <c r="F8" s="79" t="s">
        <v>60</v>
      </c>
      <c r="G8" s="26">
        <v>8</v>
      </c>
      <c r="H8" s="26">
        <v>16</v>
      </c>
      <c r="I8" s="26">
        <v>512</v>
      </c>
      <c r="J8" s="26">
        <f t="shared" si="0"/>
        <v>16</v>
      </c>
      <c r="K8" s="26">
        <f t="shared" si="1"/>
        <v>32</v>
      </c>
      <c r="L8" s="93">
        <f>I8*D8/1024</f>
        <v>1</v>
      </c>
    </row>
    <row r="9" spans="1:13">
      <c r="A9" t="s">
        <v>62</v>
      </c>
      <c r="B9" s="6"/>
      <c r="C9" s="2" t="s">
        <v>63</v>
      </c>
      <c r="D9" s="26">
        <v>2</v>
      </c>
      <c r="E9" s="29" t="s">
        <v>59</v>
      </c>
      <c r="F9" s="79" t="s">
        <v>60</v>
      </c>
      <c r="G9" s="26">
        <v>8</v>
      </c>
      <c r="H9" s="26">
        <v>16</v>
      </c>
      <c r="I9" s="26">
        <v>1024</v>
      </c>
      <c r="J9" s="26">
        <f t="shared" si="0"/>
        <v>16</v>
      </c>
      <c r="K9" s="26">
        <f t="shared" si="1"/>
        <v>32</v>
      </c>
      <c r="L9" s="93">
        <f>I9*D9/1024</f>
        <v>2</v>
      </c>
    </row>
    <row r="10" spans="1:13" ht="13.5" customHeight="1">
      <c r="B10" s="6"/>
      <c r="C10" s="2"/>
      <c r="D10" s="26"/>
      <c r="E10" s="29"/>
      <c r="F10" s="79"/>
      <c r="G10" s="26"/>
      <c r="H10" s="26"/>
      <c r="I10" s="26"/>
      <c r="J10" s="26"/>
      <c r="K10" s="26"/>
      <c r="L10" s="26"/>
    </row>
    <row r="11" spans="1:13">
      <c r="B11" s="7">
        <v>2</v>
      </c>
      <c r="C11" s="84" t="s">
        <v>64</v>
      </c>
      <c r="D11" s="28"/>
      <c r="E11" s="28"/>
      <c r="F11" s="28"/>
      <c r="G11" s="28"/>
      <c r="H11" s="28"/>
      <c r="I11" s="28"/>
      <c r="J11" s="28"/>
      <c r="K11" s="28"/>
      <c r="L11" s="28"/>
      <c r="M11" s="92"/>
    </row>
    <row r="12" spans="1:13">
      <c r="B12" s="6"/>
      <c r="C12" s="35" t="s">
        <v>65</v>
      </c>
      <c r="D12" s="26">
        <v>2</v>
      </c>
      <c r="E12" s="30" t="s">
        <v>66</v>
      </c>
      <c r="F12" s="36"/>
      <c r="G12" s="26">
        <v>32</v>
      </c>
      <c r="H12" s="26">
        <v>128</v>
      </c>
      <c r="I12" s="26">
        <v>300</v>
      </c>
      <c r="J12" s="26">
        <f>G12*D12</f>
        <v>64</v>
      </c>
      <c r="K12" s="26">
        <f>H12*D12</f>
        <v>256</v>
      </c>
      <c r="L12" s="93">
        <f>I12*D12/1024</f>
        <v>0.5859375</v>
      </c>
      <c r="M12" s="92"/>
    </row>
    <row r="13" spans="1:13">
      <c r="B13" s="6"/>
      <c r="C13" s="35" t="s">
        <v>67</v>
      </c>
      <c r="D13" s="26">
        <v>4</v>
      </c>
      <c r="E13" s="30" t="s">
        <v>66</v>
      </c>
      <c r="F13" s="36"/>
      <c r="G13" s="26">
        <v>2</v>
      </c>
      <c r="H13" s="26">
        <v>8</v>
      </c>
      <c r="I13" s="26">
        <v>100</v>
      </c>
      <c r="J13" s="26">
        <f>G13*D13</f>
        <v>8</v>
      </c>
      <c r="K13" s="26">
        <f>H13*D13</f>
        <v>32</v>
      </c>
      <c r="L13" s="93">
        <f>I13*D13/1024</f>
        <v>0.390625</v>
      </c>
      <c r="M13" s="92"/>
    </row>
    <row r="14" spans="1:13">
      <c r="B14" s="6"/>
      <c r="C14" s="80" t="s">
        <v>68</v>
      </c>
      <c r="D14" s="26">
        <v>2</v>
      </c>
      <c r="E14" s="31" t="s">
        <v>69</v>
      </c>
      <c r="F14" s="31"/>
      <c r="G14" s="32"/>
      <c r="H14" s="26"/>
      <c r="I14" s="26">
        <v>3000</v>
      </c>
      <c r="J14" s="32"/>
      <c r="K14" s="26"/>
      <c r="L14" s="93">
        <f>I14*D14/1024</f>
        <v>5.859375</v>
      </c>
      <c r="M14" s="92"/>
    </row>
    <row r="15" spans="1:13">
      <c r="B15" s="6"/>
      <c r="C15" s="80"/>
      <c r="D15" s="26"/>
      <c r="E15" s="31"/>
      <c r="F15" s="31"/>
      <c r="G15" s="32"/>
      <c r="H15" s="26"/>
      <c r="I15" s="26"/>
      <c r="J15" s="32"/>
      <c r="K15" s="26"/>
      <c r="L15" s="93"/>
      <c r="M15" s="92"/>
    </row>
    <row r="16" spans="1:13">
      <c r="B16" s="6"/>
      <c r="C16" s="2"/>
      <c r="D16" s="26"/>
      <c r="E16" s="31"/>
      <c r="F16" s="31"/>
      <c r="G16" s="32"/>
      <c r="H16" s="26"/>
      <c r="J16" s="32"/>
      <c r="K16" s="26"/>
      <c r="L16" s="93"/>
      <c r="M16" s="92"/>
    </row>
    <row r="17" spans="2:13">
      <c r="B17" s="7">
        <v>3</v>
      </c>
      <c r="C17" s="84" t="s">
        <v>70</v>
      </c>
      <c r="D17" s="28"/>
      <c r="E17" s="28"/>
      <c r="F17" s="28"/>
      <c r="G17" s="28"/>
      <c r="H17" s="28"/>
      <c r="I17" s="28"/>
      <c r="J17" s="28"/>
      <c r="K17" s="28"/>
      <c r="L17" s="28"/>
      <c r="M17" s="92"/>
    </row>
    <row r="18" spans="2:13">
      <c r="B18" s="6"/>
      <c r="C18" s="35" t="s">
        <v>65</v>
      </c>
      <c r="D18" s="26">
        <v>1</v>
      </c>
      <c r="E18" s="30" t="s">
        <v>66</v>
      </c>
      <c r="F18" s="36"/>
      <c r="G18" s="26">
        <f>G12</f>
        <v>32</v>
      </c>
      <c r="H18" s="26">
        <f>H12</f>
        <v>128</v>
      </c>
      <c r="I18" s="26">
        <v>300</v>
      </c>
      <c r="J18" s="26">
        <f>G18*D18</f>
        <v>32</v>
      </c>
      <c r="K18" s="26">
        <f>H18*D18</f>
        <v>128</v>
      </c>
      <c r="L18" s="93">
        <f>I18*D18/1024</f>
        <v>0.29296875</v>
      </c>
      <c r="M18" s="92"/>
    </row>
    <row r="19" spans="2:13">
      <c r="B19" s="6"/>
      <c r="C19" s="80" t="s">
        <v>68</v>
      </c>
      <c r="D19" s="26">
        <v>1</v>
      </c>
      <c r="E19" s="31" t="s">
        <v>69</v>
      </c>
      <c r="F19" s="31"/>
      <c r="G19" s="32"/>
      <c r="H19" s="26"/>
      <c r="I19" s="26">
        <f>I14</f>
        <v>3000</v>
      </c>
      <c r="J19" s="32"/>
      <c r="K19" s="26"/>
      <c r="L19" s="93">
        <f>I19*D19/1024</f>
        <v>2.9296875</v>
      </c>
      <c r="M19" s="92"/>
    </row>
    <row r="20" spans="2:13">
      <c r="B20" s="6"/>
      <c r="C20" s="2"/>
      <c r="D20" s="26"/>
      <c r="E20" s="31"/>
      <c r="F20" s="31"/>
      <c r="G20" s="32"/>
      <c r="H20" s="26"/>
      <c r="I20" s="26"/>
      <c r="J20" s="32"/>
      <c r="K20" s="26"/>
      <c r="L20" s="93"/>
      <c r="M20" s="92"/>
    </row>
    <row r="21" spans="2:13">
      <c r="B21" s="6"/>
      <c r="C21" s="80"/>
      <c r="D21" s="26"/>
      <c r="E21" s="31"/>
      <c r="F21" s="31"/>
      <c r="G21" s="32"/>
      <c r="H21" s="26"/>
      <c r="I21" s="26"/>
      <c r="J21" s="32"/>
      <c r="K21" s="26"/>
      <c r="L21" s="93"/>
      <c r="M21" s="92"/>
    </row>
    <row r="22" spans="2:13">
      <c r="B22" s="6"/>
      <c r="C22" s="80"/>
      <c r="D22" s="26"/>
      <c r="E22" s="31"/>
      <c r="F22" s="31"/>
      <c r="G22" s="32"/>
      <c r="H22" s="26"/>
      <c r="I22" s="26"/>
      <c r="J22" s="32"/>
      <c r="K22" s="26"/>
      <c r="L22" s="93"/>
      <c r="M22" s="92"/>
    </row>
    <row r="23" spans="2:13">
      <c r="B23" s="7">
        <v>4</v>
      </c>
      <c r="C23" s="16" t="s">
        <v>71</v>
      </c>
      <c r="D23" s="28"/>
      <c r="E23" s="28"/>
      <c r="F23" s="28"/>
      <c r="G23" s="28"/>
      <c r="H23" s="28"/>
      <c r="I23" s="28"/>
      <c r="J23" s="28"/>
      <c r="K23" s="28"/>
      <c r="L23" s="93"/>
    </row>
    <row r="24" spans="2:13">
      <c r="B24" s="6"/>
      <c r="C24" s="2" t="s">
        <v>72</v>
      </c>
      <c r="D24" s="26">
        <v>1</v>
      </c>
      <c r="E24" s="30" t="s">
        <v>73</v>
      </c>
      <c r="F24" s="36" t="s">
        <v>74</v>
      </c>
      <c r="G24" s="26"/>
      <c r="H24" s="26"/>
      <c r="I24" s="26">
        <v>8000</v>
      </c>
      <c r="J24" s="26"/>
      <c r="K24" s="26"/>
      <c r="L24" s="93">
        <f t="shared" ref="L24:L36" si="2">I24*D24/1024</f>
        <v>7.8125</v>
      </c>
    </row>
    <row r="25" spans="2:13">
      <c r="B25" s="6"/>
      <c r="C25" s="1"/>
      <c r="D25" s="26"/>
      <c r="E25" s="30"/>
      <c r="F25" s="30"/>
      <c r="G25" s="26"/>
      <c r="H25" s="26"/>
      <c r="I25" s="26"/>
      <c r="J25" s="26"/>
      <c r="K25" s="26"/>
      <c r="L25" s="93"/>
    </row>
    <row r="26" spans="2:13">
      <c r="B26" s="7">
        <v>5</v>
      </c>
      <c r="C26" s="16" t="s">
        <v>75</v>
      </c>
      <c r="D26" s="28"/>
      <c r="E26" s="28"/>
      <c r="F26" s="28"/>
      <c r="G26" s="28"/>
      <c r="H26" s="28"/>
      <c r="I26" s="28"/>
      <c r="J26" s="28"/>
      <c r="K26" s="28"/>
      <c r="L26" s="93"/>
    </row>
    <row r="27" spans="2:13">
      <c r="B27" s="6"/>
      <c r="C27" s="2" t="s">
        <v>76</v>
      </c>
      <c r="D27" s="26">
        <v>2</v>
      </c>
      <c r="E27" s="30"/>
      <c r="F27" s="79" t="s">
        <v>60</v>
      </c>
      <c r="G27" s="26">
        <v>4</v>
      </c>
      <c r="H27" s="77">
        <v>16</v>
      </c>
      <c r="I27" s="77"/>
      <c r="J27" s="26">
        <f>G27*D27</f>
        <v>8</v>
      </c>
      <c r="K27" s="26">
        <f>H27*D27</f>
        <v>32</v>
      </c>
      <c r="L27" s="93"/>
    </row>
    <row r="28" spans="2:13">
      <c r="B28" s="6"/>
      <c r="C28" s="3"/>
      <c r="D28" s="26"/>
      <c r="E28" s="30"/>
      <c r="F28" s="30"/>
      <c r="G28" s="26"/>
      <c r="H28" s="26"/>
      <c r="I28" s="26"/>
      <c r="J28" s="26"/>
      <c r="K28" s="26"/>
      <c r="L28" s="93"/>
    </row>
    <row r="29" spans="2:13">
      <c r="B29" s="7">
        <v>6</v>
      </c>
      <c r="C29" s="16" t="s">
        <v>77</v>
      </c>
      <c r="D29" s="28"/>
      <c r="E29" s="28"/>
      <c r="F29" s="28"/>
      <c r="G29" s="28"/>
      <c r="H29" s="28"/>
      <c r="I29" s="28"/>
      <c r="J29" s="28"/>
      <c r="K29" s="28"/>
      <c r="L29" s="93"/>
    </row>
    <row r="30" spans="2:13" s="5" customFormat="1">
      <c r="B30" s="6"/>
      <c r="C30" s="17" t="s">
        <v>78</v>
      </c>
      <c r="D30" s="26">
        <v>2</v>
      </c>
      <c r="E30" s="33"/>
      <c r="F30" s="33"/>
      <c r="G30" s="26"/>
      <c r="H30" s="26"/>
      <c r="I30" s="26"/>
      <c r="J30" s="26"/>
      <c r="K30" s="26"/>
      <c r="L30" s="93"/>
    </row>
    <row r="31" spans="2:13">
      <c r="B31" s="6"/>
      <c r="C31" s="2" t="s">
        <v>79</v>
      </c>
      <c r="D31" s="26">
        <v>5</v>
      </c>
      <c r="E31" s="30"/>
      <c r="F31" s="30"/>
      <c r="G31" s="26"/>
      <c r="H31" s="26"/>
      <c r="I31" s="26"/>
      <c r="J31" s="26"/>
      <c r="K31" s="26"/>
      <c r="L31" s="93"/>
    </row>
    <row r="32" spans="2:13">
      <c r="B32" s="6"/>
      <c r="C32" s="2" t="s">
        <v>80</v>
      </c>
      <c r="D32" s="26">
        <v>1</v>
      </c>
      <c r="E32" s="29" t="s">
        <v>81</v>
      </c>
      <c r="F32" s="29"/>
      <c r="G32" s="26"/>
      <c r="H32" s="26"/>
      <c r="I32" s="26"/>
      <c r="J32" s="26"/>
      <c r="K32" s="26"/>
      <c r="L32" s="93"/>
    </row>
    <row r="33" spans="2:13">
      <c r="B33" s="6"/>
      <c r="C33" s="2" t="s">
        <v>82</v>
      </c>
      <c r="D33" s="26">
        <v>1</v>
      </c>
      <c r="E33" s="29" t="s">
        <v>83</v>
      </c>
      <c r="F33" s="29" t="s">
        <v>74</v>
      </c>
      <c r="G33" s="26"/>
      <c r="H33" s="26"/>
      <c r="I33" s="26">
        <v>512</v>
      </c>
      <c r="J33" s="26"/>
      <c r="K33" s="26"/>
      <c r="L33" s="93">
        <f t="shared" si="2"/>
        <v>0.5</v>
      </c>
    </row>
    <row r="34" spans="2:13">
      <c r="B34" s="6"/>
      <c r="C34" s="2" t="s">
        <v>84</v>
      </c>
      <c r="D34" s="26">
        <v>2</v>
      </c>
      <c r="E34" s="29"/>
      <c r="F34" s="29"/>
      <c r="G34" s="26"/>
      <c r="H34" s="26"/>
      <c r="I34" s="26"/>
      <c r="J34" s="26"/>
      <c r="K34" s="26"/>
      <c r="L34" s="93"/>
    </row>
    <row r="35" spans="2:13">
      <c r="B35" s="6"/>
      <c r="C35" s="2" t="s">
        <v>85</v>
      </c>
      <c r="D35" s="26">
        <v>1</v>
      </c>
      <c r="E35" s="29"/>
      <c r="F35" s="29"/>
      <c r="G35" s="26"/>
      <c r="H35" s="26"/>
      <c r="I35" s="26"/>
      <c r="J35" s="26"/>
      <c r="K35" s="77"/>
      <c r="L35" s="93"/>
    </row>
    <row r="36" spans="2:13">
      <c r="B36" s="5"/>
      <c r="C36" s="2" t="s">
        <v>86</v>
      </c>
      <c r="D36" s="26">
        <v>1</v>
      </c>
      <c r="E36" s="29" t="s">
        <v>87</v>
      </c>
      <c r="F36" s="79" t="s">
        <v>60</v>
      </c>
      <c r="G36" s="26">
        <v>2</v>
      </c>
      <c r="H36" s="26">
        <v>4</v>
      </c>
      <c r="I36" s="26">
        <v>300</v>
      </c>
      <c r="J36" s="26">
        <f>G36*D36</f>
        <v>2</v>
      </c>
      <c r="K36" s="77">
        <v>4</v>
      </c>
      <c r="L36" s="93">
        <f t="shared" si="2"/>
        <v>0.29296875</v>
      </c>
    </row>
    <row r="37" spans="2:13">
      <c r="B37" s="5"/>
      <c r="C37" s="2" t="s">
        <v>88</v>
      </c>
      <c r="D37" s="26">
        <v>1</v>
      </c>
      <c r="E37" s="29"/>
      <c r="F37" s="29"/>
      <c r="G37" s="26"/>
      <c r="H37" s="26"/>
      <c r="I37" s="26"/>
      <c r="J37" s="26"/>
      <c r="K37" s="77"/>
      <c r="L37" s="77"/>
    </row>
    <row r="38" spans="2:13">
      <c r="B38" s="6"/>
      <c r="C38" s="2" t="s">
        <v>89</v>
      </c>
      <c r="D38" s="26">
        <v>1</v>
      </c>
      <c r="E38" s="29"/>
      <c r="F38" s="29"/>
      <c r="G38" s="26"/>
      <c r="H38" s="26"/>
      <c r="I38" s="26"/>
      <c r="J38" s="26"/>
      <c r="K38" s="77"/>
      <c r="L38" s="77"/>
    </row>
    <row r="39" spans="2:13">
      <c r="B39" s="6"/>
      <c r="C39" s="80" t="s">
        <v>90</v>
      </c>
      <c r="D39" s="74">
        <v>1</v>
      </c>
      <c r="E39" s="75"/>
      <c r="F39" s="75"/>
      <c r="G39" s="74"/>
      <c r="H39" s="74"/>
      <c r="I39" s="74"/>
      <c r="J39" s="74"/>
      <c r="K39" s="88"/>
      <c r="L39" s="88"/>
    </row>
    <row r="40" spans="2:13">
      <c r="B40" s="6"/>
      <c r="C40" s="80" t="s">
        <v>91</v>
      </c>
      <c r="D40" s="74">
        <v>1</v>
      </c>
      <c r="E40" s="75"/>
      <c r="F40" s="75"/>
      <c r="G40" s="74"/>
      <c r="H40" s="74"/>
      <c r="I40" s="74"/>
      <c r="J40" s="74"/>
      <c r="K40" s="88"/>
      <c r="L40" s="88"/>
    </row>
    <row r="41" spans="2:13">
      <c r="B41" s="6"/>
      <c r="C41" s="80" t="s">
        <v>92</v>
      </c>
      <c r="D41" s="74">
        <v>1</v>
      </c>
      <c r="E41" s="75"/>
      <c r="F41" s="75"/>
      <c r="G41" s="74"/>
      <c r="H41" s="74"/>
      <c r="I41" s="74"/>
      <c r="J41" s="74"/>
      <c r="K41" s="88"/>
      <c r="L41" s="88"/>
    </row>
    <row r="42" spans="2:13">
      <c r="B42" s="6"/>
      <c r="C42" s="80" t="s">
        <v>93</v>
      </c>
      <c r="D42" s="74">
        <v>1</v>
      </c>
      <c r="E42" s="75"/>
      <c r="F42" s="75"/>
      <c r="G42" s="74"/>
      <c r="H42" s="74"/>
      <c r="I42" s="74"/>
      <c r="J42" s="74"/>
      <c r="K42" s="88"/>
      <c r="L42" s="88"/>
    </row>
    <row r="43" spans="2:13" ht="15.75" customHeight="1">
      <c r="B43" s="6"/>
      <c r="C43" s="2" t="s">
        <v>94</v>
      </c>
      <c r="D43" s="74">
        <v>1</v>
      </c>
      <c r="E43" s="75"/>
      <c r="F43" s="75"/>
      <c r="G43" s="74"/>
      <c r="H43" s="74"/>
      <c r="I43" s="74"/>
      <c r="J43" s="74"/>
      <c r="K43" s="88"/>
      <c r="L43" s="88"/>
    </row>
    <row r="44" spans="2:13">
      <c r="B44" s="6"/>
      <c r="C44" s="2" t="s">
        <v>95</v>
      </c>
      <c r="D44" s="26">
        <v>1</v>
      </c>
      <c r="E44" s="29"/>
      <c r="F44" s="29"/>
      <c r="G44" s="26"/>
      <c r="H44" s="26"/>
      <c r="I44" s="26"/>
      <c r="J44" s="26"/>
      <c r="K44" s="77"/>
      <c r="L44" s="77"/>
    </row>
    <row r="45" spans="2:13">
      <c r="B45" s="6"/>
      <c r="C45" s="2" t="s">
        <v>96</v>
      </c>
      <c r="D45" s="26">
        <v>1</v>
      </c>
      <c r="E45" s="29"/>
      <c r="F45" s="29"/>
      <c r="G45" s="26"/>
      <c r="H45" s="26"/>
      <c r="I45" s="26"/>
      <c r="J45" s="26"/>
      <c r="K45" s="77"/>
      <c r="L45" s="77"/>
    </row>
    <row r="46" spans="2:13">
      <c r="B46" s="6"/>
      <c r="C46" s="2" t="s">
        <v>97</v>
      </c>
      <c r="D46" s="26">
        <v>1</v>
      </c>
      <c r="E46" s="29" t="s">
        <v>98</v>
      </c>
      <c r="F46" s="29"/>
      <c r="G46" s="26"/>
      <c r="H46" s="26"/>
      <c r="I46" s="26"/>
      <c r="J46" s="26"/>
      <c r="K46" s="77"/>
      <c r="L46" s="77"/>
    </row>
    <row r="47" spans="2:13">
      <c r="B47" s="6"/>
      <c r="C47" s="70" t="s">
        <v>99</v>
      </c>
      <c r="D47" s="26">
        <v>1</v>
      </c>
      <c r="E47" s="30" t="s">
        <v>73</v>
      </c>
      <c r="F47" s="30"/>
      <c r="G47" s="26"/>
      <c r="H47" s="26"/>
      <c r="I47" s="26">
        <v>5120</v>
      </c>
      <c r="J47" s="26"/>
      <c r="K47" s="77"/>
      <c r="L47" s="94">
        <f>I47*D47/1024</f>
        <v>5</v>
      </c>
      <c r="M47" s="95" t="s">
        <v>100</v>
      </c>
    </row>
    <row r="48" spans="2:13">
      <c r="B48" s="6"/>
      <c r="C48" s="2"/>
      <c r="D48" s="69"/>
      <c r="E48" s="71"/>
      <c r="F48" s="29"/>
      <c r="G48" s="72"/>
      <c r="H48" s="69"/>
      <c r="I48" s="69"/>
      <c r="J48" s="72"/>
      <c r="K48" s="89"/>
      <c r="L48" s="90"/>
    </row>
    <row r="49" spans="2:12">
      <c r="B49" s="6"/>
    </row>
    <row r="51" spans="2:12">
      <c r="C51" s="91"/>
    </row>
    <row r="52" spans="2:12">
      <c r="L52" s="97">
        <v>222835.56</v>
      </c>
    </row>
    <row r="53" spans="2:12">
      <c r="L53" s="98" t="s">
        <v>106</v>
      </c>
    </row>
    <row r="55" spans="2:12">
      <c r="C55" s="87"/>
    </row>
    <row r="57" spans="2:12">
      <c r="C57" s="76"/>
    </row>
    <row r="58" spans="2:12">
      <c r="B58" s="4"/>
      <c r="C58" s="6"/>
      <c r="E58" s="6"/>
      <c r="F58" s="6"/>
      <c r="I58"/>
      <c r="J58"/>
      <c r="K58"/>
      <c r="L58"/>
    </row>
    <row r="59" spans="2:12">
      <c r="B59" s="4"/>
      <c r="C59" s="6"/>
      <c r="E59" s="6"/>
      <c r="F59" s="6"/>
      <c r="I59"/>
      <c r="J59"/>
      <c r="K59"/>
      <c r="L59"/>
    </row>
    <row r="60" spans="2:12">
      <c r="B60" s="4"/>
      <c r="C60" s="6"/>
      <c r="E60" s="6"/>
      <c r="F60" s="6"/>
      <c r="I60"/>
      <c r="J60"/>
      <c r="K60"/>
      <c r="L60"/>
    </row>
    <row r="61" spans="2:12">
      <c r="B61" s="4"/>
      <c r="C61" s="6"/>
      <c r="E61" s="6"/>
      <c r="F61" s="6"/>
      <c r="I61"/>
      <c r="J61"/>
      <c r="K61"/>
      <c r="L61"/>
    </row>
    <row r="62" spans="2:12">
      <c r="B62" s="4"/>
      <c r="C62" s="6"/>
      <c r="E62" s="6"/>
      <c r="F62" s="6"/>
      <c r="I62"/>
      <c r="J62"/>
      <c r="K62"/>
      <c r="L62"/>
    </row>
    <row r="63" spans="2:12">
      <c r="B63" s="4"/>
      <c r="C63" s="6"/>
      <c r="E63" s="6"/>
      <c r="F63" s="6"/>
      <c r="I63"/>
      <c r="J63"/>
      <c r="K63"/>
      <c r="L63"/>
    </row>
    <row r="64" spans="2:12">
      <c r="B64" s="4"/>
      <c r="C64" s="6"/>
      <c r="E64" s="6"/>
      <c r="F64" s="6"/>
      <c r="I64"/>
      <c r="J64"/>
      <c r="K64"/>
      <c r="L64"/>
    </row>
    <row r="65" spans="2:12">
      <c r="B65" s="4"/>
      <c r="C65" s="6"/>
      <c r="E65" s="6"/>
      <c r="F65" s="6"/>
      <c r="I65"/>
      <c r="J65"/>
      <c r="K65"/>
      <c r="L65"/>
    </row>
    <row r="66" spans="2:12">
      <c r="B66" s="4"/>
      <c r="C66" s="6"/>
      <c r="E66" s="6"/>
      <c r="F66" s="6"/>
      <c r="I66"/>
      <c r="J66"/>
      <c r="K66"/>
      <c r="L66"/>
    </row>
    <row r="67" spans="2:12">
      <c r="B67" s="4"/>
      <c r="C67" s="6"/>
      <c r="E67" s="6"/>
      <c r="F67" s="6"/>
      <c r="I67"/>
      <c r="J67"/>
      <c r="K67"/>
      <c r="L67"/>
    </row>
    <row r="68" spans="2:12">
      <c r="B68" s="4"/>
      <c r="C68" s="6"/>
      <c r="E68" s="6"/>
      <c r="F68" s="6"/>
      <c r="I68"/>
      <c r="J68"/>
      <c r="K68"/>
      <c r="L68"/>
    </row>
    <row r="69" spans="2:12">
      <c r="B69" s="4"/>
      <c r="C69" s="6"/>
      <c r="E69" s="6"/>
      <c r="F69" s="6"/>
      <c r="I69"/>
      <c r="J69"/>
      <c r="K69"/>
      <c r="L69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02F98-4600-4B8D-A2C6-05DDA42F780A}">
  <dimension ref="A1:M48"/>
  <sheetViews>
    <sheetView showGridLines="0" tabSelected="1" zoomScale="70" zoomScaleNormal="70" workbookViewId="0">
      <selection activeCell="H42" sqref="H42"/>
    </sheetView>
  </sheetViews>
  <sheetFormatPr defaultRowHeight="14.45"/>
  <cols>
    <col min="2" max="2" width="7.5703125" customWidth="1"/>
    <col min="3" max="3" width="82.42578125" customWidth="1"/>
    <col min="4" max="4" width="14.28515625" style="6" customWidth="1"/>
    <col min="5" max="5" width="20.42578125" style="4" bestFit="1" customWidth="1"/>
    <col min="6" max="6" width="25.28515625" style="4" customWidth="1"/>
    <col min="7" max="8" width="9.28515625" style="6" bestFit="1" customWidth="1"/>
    <col min="9" max="9" width="14" style="6" customWidth="1"/>
    <col min="10" max="10" width="8.42578125" style="6" bestFit="1" customWidth="1"/>
    <col min="11" max="11" width="8.42578125" style="6" customWidth="1"/>
    <col min="12" max="12" width="18.7109375" style="6" customWidth="1"/>
    <col min="13" max="13" width="18.42578125" customWidth="1"/>
    <col min="14" max="14" width="17.7109375" customWidth="1"/>
    <col min="15" max="15" width="16.28515625" bestFit="1" customWidth="1"/>
    <col min="16" max="16" width="23.7109375" customWidth="1"/>
    <col min="17" max="17" width="31" customWidth="1"/>
    <col min="19" max="19" width="27.5703125" customWidth="1"/>
    <col min="20" max="20" width="14" bestFit="1" customWidth="1"/>
    <col min="21" max="21" width="16.28515625" bestFit="1" customWidth="1"/>
    <col min="22" max="22" width="21.42578125" bestFit="1" customWidth="1"/>
    <col min="23" max="23" width="24.42578125" bestFit="1" customWidth="1"/>
  </cols>
  <sheetData>
    <row r="1" spans="1:13" ht="18">
      <c r="B1" s="8"/>
    </row>
    <row r="2" spans="1:13" ht="18">
      <c r="D2" s="9" t="s">
        <v>43</v>
      </c>
      <c r="E2" s="9"/>
      <c r="F2" s="9"/>
      <c r="G2" s="9"/>
      <c r="H2" s="9"/>
      <c r="I2" s="9"/>
      <c r="J2" s="9"/>
      <c r="K2" s="9"/>
      <c r="L2" s="9"/>
    </row>
    <row r="3" spans="1:13" ht="15.6">
      <c r="B3" s="10"/>
      <c r="C3" s="11"/>
      <c r="D3" s="12"/>
      <c r="E3" s="13"/>
      <c r="F3" s="13"/>
      <c r="G3" s="12"/>
      <c r="H3" s="12"/>
      <c r="I3" s="12"/>
      <c r="J3" s="12"/>
      <c r="K3" s="12"/>
      <c r="L3" s="12"/>
    </row>
    <row r="4" spans="1:13" ht="43.15">
      <c r="B4" s="14" t="s">
        <v>44</v>
      </c>
      <c r="C4" s="15" t="s">
        <v>45</v>
      </c>
      <c r="D4" s="22" t="s">
        <v>46</v>
      </c>
      <c r="E4" s="23" t="s">
        <v>47</v>
      </c>
      <c r="F4" s="23" t="s">
        <v>48</v>
      </c>
      <c r="G4" s="23" t="s">
        <v>49</v>
      </c>
      <c r="H4" s="23" t="s">
        <v>50</v>
      </c>
      <c r="I4" s="23" t="s">
        <v>51</v>
      </c>
      <c r="J4" s="34" t="s">
        <v>52</v>
      </c>
      <c r="K4" s="34" t="s">
        <v>53</v>
      </c>
      <c r="L4" s="34" t="s">
        <v>54</v>
      </c>
    </row>
    <row r="5" spans="1:13">
      <c r="B5" s="21">
        <v>1</v>
      </c>
      <c r="C5" s="85" t="s">
        <v>55</v>
      </c>
      <c r="D5" s="83"/>
      <c r="E5" s="86"/>
      <c r="F5" s="86"/>
      <c r="G5" s="83"/>
      <c r="H5" s="83"/>
      <c r="I5" s="83"/>
      <c r="J5" s="24"/>
      <c r="K5" s="24"/>
      <c r="L5" s="24"/>
    </row>
    <row r="6" spans="1:13">
      <c r="B6" s="18"/>
      <c r="C6" s="81" t="s">
        <v>56</v>
      </c>
      <c r="D6" s="77">
        <v>1</v>
      </c>
      <c r="E6" s="82" t="s">
        <v>57</v>
      </c>
      <c r="F6" s="82"/>
      <c r="G6" s="83"/>
      <c r="H6" s="83"/>
      <c r="I6" s="83"/>
      <c r="J6" s="24"/>
      <c r="K6" s="24"/>
      <c r="L6" s="24"/>
    </row>
    <row r="7" spans="1:13">
      <c r="B7" s="6"/>
      <c r="C7" s="2" t="s">
        <v>58</v>
      </c>
      <c r="D7" s="77">
        <v>2</v>
      </c>
      <c r="E7" s="78" t="s">
        <v>59</v>
      </c>
      <c r="F7" s="79" t="s">
        <v>60</v>
      </c>
      <c r="G7" s="77">
        <v>16</v>
      </c>
      <c r="H7" s="77">
        <v>32</v>
      </c>
      <c r="I7" s="77">
        <v>300</v>
      </c>
      <c r="J7" s="26">
        <f t="shared" ref="J7:J9" si="0">G7*D7</f>
        <v>32</v>
      </c>
      <c r="K7" s="26">
        <f t="shared" ref="K7:K9" si="1">H7*D7</f>
        <v>64</v>
      </c>
      <c r="L7" s="26">
        <f t="shared" ref="L7:L9" si="2">I7*D7</f>
        <v>600</v>
      </c>
    </row>
    <row r="8" spans="1:13">
      <c r="B8" s="6"/>
      <c r="C8" s="2" t="s">
        <v>61</v>
      </c>
      <c r="D8" s="26">
        <v>1</v>
      </c>
      <c r="E8" s="29" t="s">
        <v>59</v>
      </c>
      <c r="F8" s="79" t="s">
        <v>60</v>
      </c>
      <c r="G8" s="26">
        <v>8</v>
      </c>
      <c r="H8" s="26">
        <v>16</v>
      </c>
      <c r="I8" s="26">
        <v>512</v>
      </c>
      <c r="J8" s="26">
        <f t="shared" si="0"/>
        <v>8</v>
      </c>
      <c r="K8" s="26">
        <f t="shared" si="1"/>
        <v>16</v>
      </c>
      <c r="L8" s="26">
        <f t="shared" si="2"/>
        <v>512</v>
      </c>
    </row>
    <row r="9" spans="1:13">
      <c r="A9" t="s">
        <v>62</v>
      </c>
      <c r="B9" s="6"/>
      <c r="C9" s="2" t="s">
        <v>63</v>
      </c>
      <c r="D9" s="26">
        <v>1</v>
      </c>
      <c r="E9" s="29" t="s">
        <v>59</v>
      </c>
      <c r="F9" s="79" t="s">
        <v>60</v>
      </c>
      <c r="G9" s="26">
        <v>16</v>
      </c>
      <c r="H9" s="26">
        <v>32</v>
      </c>
      <c r="I9" s="26">
        <v>512</v>
      </c>
      <c r="J9" s="26">
        <f t="shared" si="0"/>
        <v>16</v>
      </c>
      <c r="K9" s="26">
        <f t="shared" si="1"/>
        <v>32</v>
      </c>
      <c r="L9" s="26">
        <f t="shared" si="2"/>
        <v>512</v>
      </c>
    </row>
    <row r="10" spans="1:13" ht="13.5" customHeight="1">
      <c r="B10" s="6"/>
      <c r="C10" s="2"/>
      <c r="D10" s="26"/>
      <c r="E10" s="29"/>
      <c r="F10" s="79"/>
      <c r="G10" s="26"/>
      <c r="H10" s="26"/>
      <c r="I10" s="26"/>
      <c r="J10" s="26"/>
      <c r="K10" s="26"/>
      <c r="L10" s="26"/>
    </row>
    <row r="11" spans="1:13">
      <c r="B11" s="7">
        <v>2</v>
      </c>
      <c r="C11" s="84" t="s">
        <v>64</v>
      </c>
      <c r="D11" s="28"/>
      <c r="E11" s="28"/>
      <c r="F11" s="28"/>
      <c r="G11" s="28"/>
      <c r="H11" s="28"/>
      <c r="I11" s="28"/>
      <c r="J11" s="28"/>
      <c r="K11" s="28"/>
      <c r="L11" s="93"/>
      <c r="M11" s="92"/>
    </row>
    <row r="12" spans="1:13">
      <c r="B12" s="6"/>
      <c r="C12" s="35" t="s">
        <v>65</v>
      </c>
      <c r="D12" s="26">
        <v>1</v>
      </c>
      <c r="E12" s="30" t="s">
        <v>66</v>
      </c>
      <c r="F12" s="36"/>
      <c r="G12" s="96">
        <v>8</v>
      </c>
      <c r="H12" s="26">
        <v>64</v>
      </c>
      <c r="I12" s="26">
        <v>300</v>
      </c>
      <c r="J12" s="26">
        <f>G12*D12</f>
        <v>8</v>
      </c>
      <c r="K12" s="26">
        <f>H12*D12</f>
        <v>64</v>
      </c>
      <c r="L12" s="93">
        <f>I12*D12/1024</f>
        <v>0.29296875</v>
      </c>
      <c r="M12" s="92"/>
    </row>
    <row r="13" spans="1:13">
      <c r="B13" s="6"/>
      <c r="C13" s="80" t="s">
        <v>107</v>
      </c>
      <c r="D13" s="26">
        <v>1</v>
      </c>
      <c r="E13" s="31" t="s">
        <v>108</v>
      </c>
      <c r="F13" s="31"/>
      <c r="G13" s="32"/>
      <c r="H13" s="26"/>
      <c r="I13" s="96">
        <v>1000</v>
      </c>
      <c r="J13" s="32"/>
      <c r="K13" s="26"/>
      <c r="L13" s="93">
        <f>I13*D13/1024</f>
        <v>0.9765625</v>
      </c>
      <c r="M13" s="92"/>
    </row>
    <row r="14" spans="1:13">
      <c r="B14" s="6"/>
      <c r="C14" s="80" t="s">
        <v>109</v>
      </c>
      <c r="D14" s="26"/>
      <c r="E14" s="31"/>
      <c r="F14" s="31"/>
      <c r="G14" s="32"/>
      <c r="H14" s="26"/>
      <c r="I14" s="26">
        <v>500</v>
      </c>
      <c r="J14" s="32"/>
      <c r="K14" s="26"/>
      <c r="L14" s="93"/>
      <c r="M14" s="92"/>
    </row>
    <row r="15" spans="1:13">
      <c r="B15" s="6"/>
      <c r="C15" s="80" t="s">
        <v>110</v>
      </c>
      <c r="D15" s="26"/>
      <c r="E15" s="31"/>
      <c r="F15" s="31"/>
      <c r="G15" s="32"/>
      <c r="H15" s="26"/>
      <c r="I15" s="26">
        <v>500</v>
      </c>
      <c r="J15" s="32"/>
      <c r="K15" s="26"/>
      <c r="L15" s="93"/>
      <c r="M15" s="92"/>
    </row>
    <row r="16" spans="1:13">
      <c r="B16" s="6"/>
      <c r="C16" s="80"/>
      <c r="D16" s="26"/>
      <c r="E16" s="31"/>
      <c r="F16" s="31"/>
      <c r="G16" s="32"/>
      <c r="H16" s="26"/>
      <c r="I16" s="26"/>
      <c r="J16" s="32"/>
      <c r="K16" s="26"/>
      <c r="L16" s="93"/>
      <c r="M16" s="92"/>
    </row>
    <row r="17" spans="2:13">
      <c r="B17" s="6"/>
      <c r="C17" s="80"/>
      <c r="D17" s="26"/>
      <c r="E17" s="31"/>
      <c r="F17" s="31"/>
      <c r="G17" s="32"/>
      <c r="H17" s="26"/>
      <c r="I17" s="26"/>
      <c r="J17" s="32"/>
      <c r="K17" s="26"/>
      <c r="L17" s="93"/>
      <c r="M17" s="92"/>
    </row>
    <row r="18" spans="2:13">
      <c r="B18" s="7">
        <v>3</v>
      </c>
      <c r="C18" s="16" t="s">
        <v>71</v>
      </c>
      <c r="D18" s="28"/>
      <c r="E18" s="28"/>
      <c r="F18" s="28"/>
      <c r="G18" s="28"/>
      <c r="H18" s="28"/>
      <c r="I18" s="28"/>
      <c r="J18" s="28"/>
      <c r="K18" s="28"/>
      <c r="L18" s="28"/>
    </row>
    <row r="19" spans="2:13">
      <c r="B19" s="6"/>
      <c r="C19" s="2" t="s">
        <v>72</v>
      </c>
      <c r="D19" s="26">
        <v>1</v>
      </c>
      <c r="E19" s="30" t="s">
        <v>73</v>
      </c>
      <c r="F19" s="36" t="s">
        <v>74</v>
      </c>
      <c r="G19" s="26"/>
      <c r="H19" s="26"/>
      <c r="I19" s="26">
        <v>1500</v>
      </c>
      <c r="J19" s="26"/>
      <c r="K19" s="26"/>
      <c r="L19" s="93">
        <f t="shared" ref="L19" si="3">I19*D19/1024</f>
        <v>1.46484375</v>
      </c>
    </row>
    <row r="20" spans="2:13">
      <c r="B20" s="6"/>
      <c r="C20" s="1"/>
      <c r="D20" s="26"/>
      <c r="E20" s="30"/>
      <c r="F20" s="30"/>
      <c r="G20" s="26"/>
      <c r="H20" s="26"/>
      <c r="I20" s="26"/>
      <c r="J20" s="26"/>
      <c r="K20" s="26"/>
      <c r="L20" s="32"/>
    </row>
    <row r="21" spans="2:13">
      <c r="B21" s="7">
        <v>4</v>
      </c>
      <c r="C21" s="16" t="s">
        <v>75</v>
      </c>
      <c r="D21" s="28"/>
      <c r="E21" s="28"/>
      <c r="F21" s="28"/>
      <c r="G21" s="28"/>
      <c r="H21" s="28"/>
      <c r="I21" s="28"/>
      <c r="J21" s="28"/>
      <c r="K21" s="28"/>
      <c r="L21" s="28"/>
    </row>
    <row r="22" spans="2:13">
      <c r="B22" s="6"/>
      <c r="C22" s="2" t="s">
        <v>111</v>
      </c>
      <c r="D22" s="26">
        <v>1</v>
      </c>
      <c r="E22" s="30"/>
      <c r="F22" s="36" t="s">
        <v>112</v>
      </c>
      <c r="G22" s="26">
        <v>4</v>
      </c>
      <c r="H22" s="77">
        <v>16</v>
      </c>
      <c r="I22" s="77"/>
      <c r="J22" s="26">
        <f>G22*D22</f>
        <v>4</v>
      </c>
      <c r="K22" s="26">
        <f>H22*D22</f>
        <v>16</v>
      </c>
      <c r="L22" s="26"/>
    </row>
    <row r="23" spans="2:13">
      <c r="B23" s="6"/>
      <c r="C23" s="3"/>
      <c r="D23" s="26"/>
      <c r="E23" s="30"/>
      <c r="F23" s="30"/>
      <c r="G23" s="26"/>
      <c r="H23" s="26"/>
      <c r="I23" s="26"/>
      <c r="J23" s="26"/>
      <c r="K23" s="26"/>
      <c r="L23" s="26"/>
    </row>
    <row r="24" spans="2:13">
      <c r="B24" s="7">
        <v>5</v>
      </c>
      <c r="C24" s="16" t="s">
        <v>77</v>
      </c>
      <c r="D24" s="28"/>
      <c r="E24" s="28"/>
      <c r="F24" s="28"/>
      <c r="G24" s="28"/>
      <c r="H24" s="28"/>
      <c r="I24" s="28"/>
      <c r="J24" s="28"/>
      <c r="K24" s="28"/>
      <c r="L24" s="28"/>
    </row>
    <row r="25" spans="2:13" s="5" customFormat="1">
      <c r="B25" s="6"/>
      <c r="C25" s="17" t="s">
        <v>78</v>
      </c>
      <c r="D25" s="26">
        <v>1</v>
      </c>
      <c r="E25" s="33"/>
      <c r="F25" s="33"/>
      <c r="G25" s="26"/>
      <c r="H25" s="26"/>
      <c r="I25" s="26"/>
      <c r="J25" s="26"/>
      <c r="K25" s="26"/>
      <c r="L25" s="26"/>
    </row>
    <row r="26" spans="2:13">
      <c r="B26" s="6"/>
      <c r="C26" s="2" t="s">
        <v>79</v>
      </c>
      <c r="D26" s="26">
        <v>5</v>
      </c>
      <c r="E26" s="30"/>
      <c r="F26" s="30"/>
      <c r="G26" s="26"/>
      <c r="H26" s="26"/>
      <c r="I26" s="26"/>
      <c r="J26" s="26"/>
      <c r="K26" s="26"/>
      <c r="L26" s="26"/>
    </row>
    <row r="27" spans="2:13">
      <c r="B27" s="6"/>
      <c r="C27" s="2" t="s">
        <v>80</v>
      </c>
      <c r="D27" s="26">
        <v>1</v>
      </c>
      <c r="E27" s="29" t="s">
        <v>81</v>
      </c>
      <c r="F27" s="29"/>
      <c r="G27" s="26"/>
      <c r="H27" s="26"/>
      <c r="I27" s="26"/>
      <c r="J27" s="26"/>
      <c r="K27" s="77"/>
      <c r="L27" s="77"/>
    </row>
    <row r="28" spans="2:13">
      <c r="B28" s="6"/>
      <c r="C28" s="2" t="s">
        <v>82</v>
      </c>
      <c r="D28" s="26">
        <v>1</v>
      </c>
      <c r="E28" s="29" t="s">
        <v>83</v>
      </c>
      <c r="F28" s="29" t="s">
        <v>74</v>
      </c>
      <c r="G28" s="26"/>
      <c r="H28" s="26"/>
      <c r="I28" s="26"/>
      <c r="J28" s="26"/>
      <c r="K28" s="77"/>
      <c r="L28" s="77" t="s">
        <v>113</v>
      </c>
    </row>
    <row r="29" spans="2:13">
      <c r="B29" s="6"/>
      <c r="C29" s="2" t="s">
        <v>84</v>
      </c>
      <c r="D29" s="26">
        <v>2</v>
      </c>
      <c r="E29" s="29"/>
      <c r="F29" s="29"/>
      <c r="G29" s="26"/>
      <c r="H29" s="26"/>
      <c r="I29" s="26"/>
      <c r="J29" s="26"/>
      <c r="K29" s="77"/>
      <c r="L29" s="77" t="s">
        <v>114</v>
      </c>
    </row>
    <row r="30" spans="2:13">
      <c r="B30" s="6"/>
      <c r="C30" s="2" t="s">
        <v>85</v>
      </c>
      <c r="D30" s="26">
        <v>1</v>
      </c>
      <c r="E30" s="29"/>
      <c r="F30" s="29"/>
      <c r="G30" s="26"/>
      <c r="H30" s="26"/>
      <c r="I30" s="26"/>
      <c r="J30" s="26"/>
      <c r="K30" s="77"/>
      <c r="L30" s="77"/>
    </row>
    <row r="31" spans="2:13">
      <c r="B31" s="5"/>
      <c r="C31" s="2" t="s">
        <v>86</v>
      </c>
      <c r="D31" s="26">
        <v>1</v>
      </c>
      <c r="E31" s="29" t="s">
        <v>87</v>
      </c>
      <c r="F31" s="36" t="s">
        <v>112</v>
      </c>
      <c r="G31" s="26">
        <v>2</v>
      </c>
      <c r="H31" s="26">
        <v>4</v>
      </c>
      <c r="I31" s="26">
        <v>300</v>
      </c>
      <c r="J31" s="26">
        <f>G31*D31</f>
        <v>2</v>
      </c>
      <c r="K31" s="77">
        <v>4</v>
      </c>
      <c r="L31" s="77">
        <f>I31*D31</f>
        <v>300</v>
      </c>
    </row>
    <row r="32" spans="2:13">
      <c r="B32" s="5"/>
      <c r="C32" s="2" t="s">
        <v>88</v>
      </c>
      <c r="D32" s="26">
        <v>1</v>
      </c>
      <c r="E32" s="29"/>
      <c r="F32" s="29"/>
      <c r="G32" s="26"/>
      <c r="H32" s="26"/>
      <c r="I32" s="26"/>
      <c r="J32" s="26"/>
      <c r="K32" s="77"/>
      <c r="L32" s="77"/>
    </row>
    <row r="33" spans="2:12">
      <c r="B33" s="6"/>
      <c r="C33" s="80" t="s">
        <v>93</v>
      </c>
      <c r="D33" s="74">
        <v>1</v>
      </c>
      <c r="E33" s="75"/>
      <c r="F33" s="75"/>
      <c r="G33" s="74"/>
      <c r="H33" s="74"/>
      <c r="I33" s="74"/>
      <c r="J33" s="74"/>
      <c r="K33" s="88"/>
      <c r="L33" s="88"/>
    </row>
    <row r="34" spans="2:12" ht="15.75" customHeight="1">
      <c r="B34" s="6"/>
      <c r="C34" s="2" t="s">
        <v>94</v>
      </c>
      <c r="D34" s="74">
        <v>1</v>
      </c>
      <c r="E34" s="75"/>
      <c r="F34" s="75"/>
      <c r="G34" s="74"/>
      <c r="H34" s="74"/>
      <c r="I34" s="74"/>
      <c r="J34" s="74"/>
      <c r="K34" s="88"/>
      <c r="L34" s="88"/>
    </row>
    <row r="35" spans="2:12">
      <c r="B35" s="6"/>
      <c r="C35" s="2" t="s">
        <v>95</v>
      </c>
      <c r="D35" s="26">
        <v>1</v>
      </c>
      <c r="E35" s="29"/>
      <c r="F35" s="29"/>
      <c r="G35" s="26"/>
      <c r="H35" s="26"/>
      <c r="I35" s="26"/>
      <c r="J35" s="26"/>
      <c r="K35" s="77"/>
      <c r="L35" s="77"/>
    </row>
    <row r="36" spans="2:12">
      <c r="B36" s="6"/>
      <c r="C36" s="2" t="s">
        <v>96</v>
      </c>
      <c r="D36" s="26">
        <v>1</v>
      </c>
      <c r="E36" s="29"/>
      <c r="F36" s="29"/>
      <c r="G36" s="26"/>
      <c r="H36" s="26"/>
      <c r="I36" s="26"/>
      <c r="J36" s="26"/>
      <c r="K36" s="77"/>
      <c r="L36" s="77"/>
    </row>
    <row r="37" spans="2:12">
      <c r="B37" s="6"/>
      <c r="C37" s="2" t="s">
        <v>97</v>
      </c>
      <c r="D37" s="26">
        <v>1</v>
      </c>
      <c r="E37" s="29" t="s">
        <v>98</v>
      </c>
      <c r="F37" s="29"/>
      <c r="G37" s="26"/>
      <c r="H37" s="26"/>
      <c r="I37" s="26"/>
      <c r="J37" s="26"/>
      <c r="K37" s="77"/>
      <c r="L37" s="77"/>
    </row>
    <row r="38" spans="2:12" ht="28.9">
      <c r="B38" s="6"/>
      <c r="C38" s="70" t="s">
        <v>115</v>
      </c>
      <c r="D38" s="37" t="s">
        <v>100</v>
      </c>
      <c r="E38" s="30" t="s">
        <v>73</v>
      </c>
      <c r="F38" s="30"/>
      <c r="G38" s="26"/>
      <c r="H38" s="26"/>
      <c r="I38" s="26">
        <v>1500</v>
      </c>
      <c r="J38" s="26"/>
      <c r="K38" s="77"/>
      <c r="L38" s="93">
        <f>I38/1024</f>
        <v>1.46484375</v>
      </c>
    </row>
    <row r="39" spans="2:12">
      <c r="B39" s="6"/>
      <c r="C39" s="2"/>
      <c r="D39" s="69"/>
      <c r="E39" s="71"/>
      <c r="F39" s="29"/>
      <c r="G39" s="72"/>
      <c r="H39" s="69"/>
      <c r="I39" s="69"/>
      <c r="J39" s="72"/>
      <c r="K39" s="69"/>
      <c r="L39" s="73"/>
    </row>
    <row r="40" spans="2:12">
      <c r="B40" s="6"/>
    </row>
    <row r="42" spans="2:12" ht="21.6">
      <c r="L42" s="100"/>
    </row>
    <row r="43" spans="2:12">
      <c r="C43" s="91"/>
      <c r="L43" s="76"/>
    </row>
    <row r="45" spans="2:12">
      <c r="C45" s="87"/>
    </row>
    <row r="48" spans="2:12">
      <c r="C48" s="76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7C8883F200AE4AA7DC677F98F1DD40" ma:contentTypeVersion="16" ma:contentTypeDescription="Create a new document." ma:contentTypeScope="" ma:versionID="a5e0a5378948352aad8678c31773b0d4">
  <xsd:schema xmlns:xsd="http://www.w3.org/2001/XMLSchema" xmlns:xs="http://www.w3.org/2001/XMLSchema" xmlns:p="http://schemas.microsoft.com/office/2006/metadata/properties" xmlns:ns2="dc8cf51d-6865-4274-af30-b4ce83c6774e" xmlns:ns3="19650a09-bea8-446c-93c1-da0fa3a110bb" targetNamespace="http://schemas.microsoft.com/office/2006/metadata/properties" ma:root="true" ma:fieldsID="8a0bb30ef738f845075408d21a8e9d97" ns2:_="" ns3:_="">
    <xsd:import namespace="dc8cf51d-6865-4274-af30-b4ce83c6774e"/>
    <xsd:import namespace="19650a09-bea8-446c-93c1-da0fa3a110bb"/>
    <xsd:element name="properties">
      <xsd:complexType>
        <xsd:sequence>
          <xsd:element name="documentManagement">
            <xsd:complexType>
              <xsd:all>
                <xsd:element ref="ns2:DateTime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cf51d-6865-4274-af30-b4ce83c6774e" elementFormDefault="qualified">
    <xsd:import namespace="http://schemas.microsoft.com/office/2006/documentManagement/types"/>
    <xsd:import namespace="http://schemas.microsoft.com/office/infopath/2007/PartnerControls"/>
    <xsd:element name="DateTime" ma:index="8" nillable="true" ma:displayName="Date Time" ma:format="DateOnly" ma:internalName="DateTime">
      <xsd:simpleType>
        <xsd:restriction base="dms:DateTim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5f223b0e-6099-427b-8a06-7e583c67c1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50a09-bea8-446c-93c1-da0fa3a110bb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413833fe-4cef-41d5-9d23-2214a180e42d}" ma:internalName="TaxCatchAll" ma:showField="CatchAllData" ma:web="19650a09-bea8-446c-93c1-da0fa3a110b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650a09-bea8-446c-93c1-da0fa3a110bb" xsi:nil="true"/>
    <DateTime xmlns="dc8cf51d-6865-4274-af30-b4ce83c6774e" xsi:nil="true"/>
    <lcf76f155ced4ddcb4097134ff3c332f xmlns="dc8cf51d-6865-4274-af30-b4ce83c6774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8AFC6A9-90A3-4141-AD50-0E5BB9EE1D41}"/>
</file>

<file path=customXml/itemProps2.xml><?xml version="1.0" encoding="utf-8"?>
<ds:datastoreItem xmlns:ds="http://schemas.openxmlformats.org/officeDocument/2006/customXml" ds:itemID="{271FF707-2422-45C4-8AC3-6BD83F88D50E}"/>
</file>

<file path=customXml/itemProps3.xml><?xml version="1.0" encoding="utf-8"?>
<ds:datastoreItem xmlns:ds="http://schemas.openxmlformats.org/officeDocument/2006/customXml" ds:itemID="{A03C2366-BBF4-464A-90AC-72F3EC0C82C2}"/>
</file>

<file path=docMetadata/LabelInfo.xml><?xml version="1.0" encoding="utf-8"?>
<clbl:labelList xmlns:clbl="http://schemas.microsoft.com/office/2020/mipLabelMetadata">
  <clbl:label id="{37cadf44-3c1b-4c91-a356-e885893e183a}" enabled="0" method="" siteId="{37cadf44-3c1b-4c91-a356-e885893e183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SARNAG MANJREKAR</dc:creator>
  <cp:keywords/>
  <dc:description/>
  <cp:lastModifiedBy/>
  <cp:revision/>
  <dcterms:created xsi:type="dcterms:W3CDTF">2021-05-06T11:50:13Z</dcterms:created>
  <dcterms:modified xsi:type="dcterms:W3CDTF">2026-02-25T09:48:14Z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0x010100227C8883F200AE4AA7DC677F98F1DD40</vt:lpwstr>
  </property>
</Properties>
</file>