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webextensions/taskpanes.xml" ContentType="application/xml"/>
  <Override PartName="/xl/drawings/vmlDrawing1.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11/relationships/webextensiontaskpanes" Target="xl/webextensions/taskpanes.xml"/><Relationship Id="rId9"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Versioning" sheetId="1" state="visible" r:id="rId3"/>
    <sheet name="Summary" sheetId="2" state="visible" r:id="rId4"/>
    <sheet name="Instructions" sheetId="3" state="visible" r:id="rId5"/>
    <sheet name="Customer Volumes" sheetId="4" state="visible" r:id="rId6"/>
    <sheet name="Per Hour Volumes" sheetId="5" state="visible" r:id="rId7"/>
    <sheet name="Services Calculation" sheetId="6" state="visible" r:id="rId8"/>
    <sheet name="Datasize-Parameters" sheetId="7" state="visible" r:id="rId9"/>
    <sheet name="Data size" sheetId="8" state="visible" r:id="rId10"/>
    <sheet name="DMS size" sheetId="9" state="visible" r:id="rId11"/>
    <sheet name="Cloud sizing inputs" sheetId="10" state="hidden" r:id="rId12"/>
    <sheet name="Cloud Sizing" sheetId="11" state="hidden" r:id="rId13"/>
    <sheet name="AWS Common" sheetId="12" state="hidden" r:id="rId14"/>
    <sheet name="Server size" sheetId="13" state="visible" r:id="rId15"/>
    <sheet name="Bandwidth Calculator" sheetId="14" state="visible" r:id="rId16"/>
    <sheet name="Additional inputs" sheetId="15" state="visible" r:id="rId17"/>
    <sheet name="On-Prem Assumptions" sheetId="16" state="visible" r:id="rId18"/>
    <sheet name="Cloud Assumptions" sheetId="17" state="visible" r:id="rId19"/>
    <sheet name="SaaS Assumptions" sheetId="18" state="visible" r:id="rId20"/>
    <sheet name="Lookup" sheetId="19" state="hidden" r:id="rId21"/>
  </sheets>
  <definedNames>
    <definedName function="false" hidden="false" name="d" vbProcedure="false">#REF!</definedName>
    <definedName function="false" hidden="false" name="q" vbProcedure="false">#REF!</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D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comment>
    <comment ref="H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comment>
    <comment ref="L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comment>
    <comment ref="P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comment>
    <comment ref="T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Assumption: For Account (Customer) &amp; Lead only 30% of total DMS space is considered</t>
        </r>
      </text>
    </comment>
  </commentList>
</comments>
</file>

<file path=xl/sharedStrings.xml><?xml version="1.0" encoding="utf-8"?>
<sst xmlns="http://schemas.openxmlformats.org/spreadsheetml/2006/main" count="1096" uniqueCount="502">
  <si>
    <t xml:space="preserve">S.No.</t>
  </si>
  <si>
    <t xml:space="preserve">Version</t>
  </si>
  <si>
    <t xml:space="preserve">Description</t>
  </si>
  <si>
    <t xml:space="preserve">Default Template</t>
  </si>
  <si>
    <t xml:space="preserve">Added volumes sheet, Bandwidth calculator and few automations</t>
  </si>
  <si>
    <t xml:space="preserve">Major changes related to worker nodes calculation based on different Businessnext services Load Testing</t>
  </si>
  <si>
    <t xml:space="preserve">Sheet Name</t>
  </si>
  <si>
    <t xml:space="preserve">Instructions</t>
  </si>
  <si>
    <t xml:space="preserve">This sheet contains Instructions to use Businessnext sizing template</t>
  </si>
  <si>
    <t xml:space="preserve">Customer Volumes</t>
  </si>
  <si>
    <t xml:space="preserve">This sheet contains Application volumes received from customer or based on assumptions</t>
  </si>
  <si>
    <t xml:space="preserve">Per Hour Volumes</t>
  </si>
  <si>
    <t xml:space="preserve">This sheet calculates per hour volumes as per volumes defined in Customer Volumes sheet to derive on services resource utilization</t>
  </si>
  <si>
    <t xml:space="preserve">Services Calculation</t>
  </si>
  <si>
    <t xml:space="preserve">This sheet calculates resources required for each service based on volumes and formulas based on load testing results </t>
  </si>
  <si>
    <t xml:space="preserve">Datasize-Parameters</t>
  </si>
  <si>
    <t xml:space="preserve">This sheet contains BUSINESSNEXT objects and their sizes based on records, fields and such parameters</t>
  </si>
  <si>
    <t xml:space="preserve">Data size</t>
  </si>
  <si>
    <t xml:space="preserve">This sheet calculates Database size based on different objects</t>
  </si>
  <si>
    <t xml:space="preserve">DMS size</t>
  </si>
  <si>
    <t xml:space="preserve">This sheet calculates DMS size based on different objects</t>
  </si>
  <si>
    <t xml:space="preserve">Server size</t>
  </si>
  <si>
    <t xml:space="preserve">This sheet calculates Worker nodes and DB server size based on concurrency</t>
  </si>
  <si>
    <t xml:space="preserve">Bandwidth Calculator</t>
  </si>
  <si>
    <t xml:space="preserve">This sheet calculates Bandwidth calculation as per users defined in Customer Volumes sheet</t>
  </si>
  <si>
    <t xml:space="preserve">Additional Inputs</t>
  </si>
  <si>
    <t xml:space="preserve">This is blank sheet added for any additional inputs which are required for sizing</t>
  </si>
  <si>
    <t xml:space="preserve">On-Prem Assumptions</t>
  </si>
  <si>
    <t xml:space="preserve">This sheet contains assumptions considered for On-prem hosting</t>
  </si>
  <si>
    <t xml:space="preserve">Cloud Assumptions</t>
  </si>
  <si>
    <t xml:space="preserve">This sheet contains assumptions considered for Cloud hosting</t>
  </si>
  <si>
    <t xml:space="preserve">SaaS Assumptions</t>
  </si>
  <si>
    <t xml:space="preserve">This sheet contains assumptions considered for SaaS hosting</t>
  </si>
  <si>
    <t xml:space="preserve">Assumptions</t>
  </si>
  <si>
    <t xml:space="preserve">1. Only Blue marked cell can be modified
2. The consitution of various objects is based as per the assumption of BUSINESSNEXT Objects Table
3. The default size of the system objects may vary depending on number of fields we wish to capture. This will only be determined after the study</t>
  </si>
  <si>
    <t xml:space="preserve">Topic/Table</t>
  </si>
  <si>
    <t xml:space="preserve">CustomerVolumes</t>
  </si>
  <si>
    <t xml:space="preserve">Customer Name</t>
  </si>
  <si>
    <t xml:space="preserve">Add customer name</t>
  </si>
  <si>
    <t xml:space="preserve">Assumptions for sizing</t>
  </si>
  <si>
    <t xml:space="preserve">Edit blue marked cells. Add sizing as per the established method</t>
  </si>
  <si>
    <t xml:space="preserve">Particulars for sizing</t>
  </si>
  <si>
    <t xml:space="preserve">Define what is considered for this bid</t>
  </si>
  <si>
    <t xml:space="preserve">Environments</t>
  </si>
  <si>
    <t xml:space="preserve">Define environments required</t>
  </si>
  <si>
    <t xml:space="preserve">PARAMETERS</t>
  </si>
  <si>
    <t xml:space="preserve">BUSINESSNEXT Objects</t>
  </si>
  <si>
    <t xml:space="preserve">"Business Or Similar Object" Cloumn values can be renamed according to RFP requirement</t>
  </si>
  <si>
    <t xml:space="preserve">"Has Flow Data" Column can be set Yes/No according to RFP Requirement</t>
  </si>
  <si>
    <t xml:space="preserve">Avg Size of Single Extended Field has been taken as 256 Bytes</t>
  </si>
  <si>
    <t xml:space="preserve">Total Object Storage for Single Record is extended for 2.5 times for flow data</t>
  </si>
  <si>
    <t xml:space="preserve">Database File Parameters</t>
  </si>
  <si>
    <t xml:space="preserve">Defined what is considered for calculation of database filed other than CRMNEXT Data tables</t>
  </si>
  <si>
    <t xml:space="preserve">What Constitutes a Object</t>
  </si>
  <si>
    <t xml:space="preserve">It defined that how single object record is associated with other objects in BUSINESSNEXT.</t>
  </si>
  <si>
    <t xml:space="preserve">Update the "Count" according to RFP Requirement</t>
  </si>
  <si>
    <t xml:space="preserve">Avg number of Extended Fields can be considered during calculation based on RFP requirement. Or use default 25</t>
  </si>
  <si>
    <t xml:space="preserve">DATA SIZE</t>
  </si>
  <si>
    <t xml:space="preserve">1st Year, 2nd Year, 3rd Year, 4th Year, 5th Year</t>
  </si>
  <si>
    <t xml:space="preserve">Put the values of total columes for objects for calculation and below "Object Storage" table will give estimate of total storage in GB</t>
  </si>
  <si>
    <t xml:space="preserve">DMS DISK SIZE</t>
  </si>
  <si>
    <t xml:space="preserve">Put the values of total columes for objects for calculation and below "File Storage" table will give estimate of total storage in GB</t>
  </si>
  <si>
    <t xml:space="preserve">SERVER SIZE</t>
  </si>
  <si>
    <t xml:space="preserve">Only edit blue marked cells for integration and webapi cores for database server</t>
  </si>
  <si>
    <t xml:space="preserve">2nd Year, 2nd Year, 3rd Year, 4th Year, 5th Year</t>
  </si>
  <si>
    <t xml:space="preserve">Bandwidth calculation as per users defined in Volumes sheet</t>
  </si>
  <si>
    <t xml:space="preserve">ADDITIONAL INPUTS</t>
  </si>
  <si>
    <t xml:space="preserve">Add any additional inputs which are required for sizing.</t>
  </si>
  <si>
    <t xml:space="preserve">Customer Name: Bandhan Bank</t>
  </si>
  <si>
    <t xml:space="preserve">S. No.</t>
  </si>
  <si>
    <t xml:space="preserve">Y1</t>
  </si>
  <si>
    <t xml:space="preserve">Y2</t>
  </si>
  <si>
    <t xml:space="preserve">Y3</t>
  </si>
  <si>
    <t xml:space="preserve">Y4</t>
  </si>
  <si>
    <t xml:space="preserve">Y5</t>
  </si>
  <si>
    <t xml:space="preserve">YoY Growth %</t>
  </si>
  <si>
    <t xml:space="preserve">Primary Owner</t>
  </si>
  <si>
    <t xml:space="preserve">Secondary Owner</t>
  </si>
  <si>
    <t xml:space="preserve">Total Number of named Users</t>
  </si>
  <si>
    <t xml:space="preserve">Pre-sales</t>
  </si>
  <si>
    <t xml:space="preserve">Number of concurrent users</t>
  </si>
  <si>
    <t xml:space="preserve">Total no. of customers (Retail+Wholesale+SME/MSME)</t>
  </si>
  <si>
    <t xml:space="preserve">Number of Activities per customer (meetings/ calls/ emails) </t>
  </si>
  <si>
    <t xml:space="preserve">Assumption: 2 activities per customer</t>
  </si>
  <si>
    <t xml:space="preserve">Number of Leads</t>
  </si>
  <si>
    <t xml:space="preserve">Number of Activities per lead (meetings/ calls/ emails) </t>
  </si>
  <si>
    <t xml:space="preserve">Assumption: 2 activities per Lead</t>
  </si>
  <si>
    <t xml:space="preserve">Number of Service Requests (Cases)</t>
  </si>
  <si>
    <t xml:space="preserve">Number of Activities (meetings/ calls/ emails) per Service Request (Cases)</t>
  </si>
  <si>
    <t xml:space="preserve">Assumption: 2 activities per Case</t>
  </si>
  <si>
    <t xml:space="preserve">Number of Campaigns</t>
  </si>
  <si>
    <t xml:space="preserve">Assumption: 1 Offer per customer</t>
  </si>
  <si>
    <t xml:space="preserve">Number of Product Holdings per customer</t>
  </si>
  <si>
    <t xml:space="preserve">Assumption: 1 PH per customer</t>
  </si>
  <si>
    <t xml:space="preserve">Number of Concurrent Mobile Users</t>
  </si>
  <si>
    <t xml:space="preserve">Number of documents per customer</t>
  </si>
  <si>
    <t xml:space="preserve">Assumption: 5 documents per Customer</t>
  </si>
  <si>
    <t xml:space="preserve">Number of documents per Lead</t>
  </si>
  <si>
    <t xml:space="preserve">Assumption: 5 documents per Lead</t>
  </si>
  <si>
    <t xml:space="preserve">Number of documents per Service Request (Case)</t>
  </si>
  <si>
    <t xml:space="preserve">Assumption: 5 documents per Case</t>
  </si>
  <si>
    <t xml:space="preserve">Total Num of Documents</t>
  </si>
  <si>
    <t xml:space="preserve">Formula</t>
  </si>
  <si>
    <t xml:space="preserve">Assumption: Sum of above 3</t>
  </si>
  <si>
    <t xml:space="preserve">Sized of document</t>
  </si>
  <si>
    <t xml:space="preserve">256 KB</t>
  </si>
  <si>
    <t xml:space="preserve">Assumption</t>
  </si>
  <si>
    <t xml:space="preserve">Assumption: Default size 1 MB</t>
  </si>
  <si>
    <t xml:space="preserve">Reports downloaded in PDF per user</t>
  </si>
  <si>
    <t xml:space="preserve">Assumption: 1 report per user per hour</t>
  </si>
  <si>
    <t xml:space="preserve">Size of PDF</t>
  </si>
  <si>
    <t xml:space="preserve">1 MB</t>
  </si>
  <si>
    <t xml:space="preserve">Number of Emails captured for Lead/Case creation</t>
  </si>
  <si>
    <t xml:space="preserve">Assumption: 5% of total Lead &amp; Case captured through Email syndication</t>
  </si>
  <si>
    <t xml:space="preserve">Number of escalations</t>
  </si>
  <si>
    <t xml:space="preserve">Assumption: 10% records escalation on Lead+Case+Accounts)</t>
  </si>
  <si>
    <t xml:space="preserve">Number of Alerts</t>
  </si>
  <si>
    <t xml:space="preserve">Assumption: 10% records alerts on Lead+Case+Accounts)</t>
  </si>
  <si>
    <t xml:space="preserve">Number of Email/SMS</t>
  </si>
  <si>
    <t xml:space="preserve">Assumption: 1 Email/SMS per Lead+Case</t>
  </si>
  <si>
    <t xml:space="preserve">Rest API hits per day</t>
  </si>
  <si>
    <t xml:space="preserve">Assumption: Default assumption</t>
  </si>
  <si>
    <t xml:space="preserve">Platform MS hits per day</t>
  </si>
  <si>
    <t xml:space="preserve">Assumption: 1 hit for every Syndication, Escalation, Comm hit </t>
  </si>
  <si>
    <t xml:space="preserve">Num of SLAs hit per day</t>
  </si>
  <si>
    <t xml:space="preserve">Assumption: 1% of Lead+Case+Customer</t>
  </si>
  <si>
    <t xml:space="preserve">Number of Contact per customer</t>
  </si>
  <si>
    <t xml:space="preserve">Average number of history records per object: Customer/Leads/Service Requests</t>
  </si>
  <si>
    <t xml:space="preserve">Inputs</t>
  </si>
  <si>
    <t xml:space="preserve">Comments, if any</t>
  </si>
  <si>
    <t xml:space="preserve">Number of years for the required hardware sizing</t>
  </si>
  <si>
    <t xml:space="preserve">5 Years</t>
  </si>
  <si>
    <t xml:space="preserve">Type of Deployment</t>
  </si>
  <si>
    <t xml:space="preserve">SaaS</t>
  </si>
  <si>
    <t xml:space="preserve">Infrastructure hosting platform</t>
  </si>
  <si>
    <t xml:space="preserve">Cloud</t>
  </si>
  <si>
    <t xml:space="preserve">Choose preferred platform</t>
  </si>
  <si>
    <t xml:space="preserve">AWS</t>
  </si>
  <si>
    <t xml:space="preserve">CRMnext Database</t>
  </si>
  <si>
    <t xml:space="preserve">Postgres</t>
  </si>
  <si>
    <t xml:space="preserve">Is Reporting DB required?</t>
  </si>
  <si>
    <t xml:space="preserve">Yes</t>
  </si>
  <si>
    <t xml:space="preserve">Environments to be considered for Sizing</t>
  </si>
  <si>
    <t xml:space="preserve">Required</t>
  </si>
  <si>
    <t xml:space="preserve">Size equivalent to Prod</t>
  </si>
  <si>
    <t xml:space="preserve">DC</t>
  </si>
  <si>
    <t xml:space="preserve">NA</t>
  </si>
  <si>
    <t xml:space="preserve">DR</t>
  </si>
  <si>
    <t xml:space="preserve">Pre-Prod</t>
  </si>
  <si>
    <t xml:space="preserve">UAT</t>
  </si>
  <si>
    <t xml:space="preserve">SIT</t>
  </si>
  <si>
    <t xml:space="preserve">DEV (Internal)</t>
  </si>
  <si>
    <t xml:space="preserve">No</t>
  </si>
  <si>
    <t xml:space="preserve">Others, if any</t>
  </si>
  <si>
    <t xml:space="preserve">Assumptions for sizing  </t>
  </si>
  <si>
    <t xml:space="preserve">Total no. of customers</t>
  </si>
  <si>
    <t xml:space="preserve">Number of Cases</t>
  </si>
  <si>
    <t xml:space="preserve">Number of Activities (meetings/ calls/ emails) per Case</t>
  </si>
  <si>
    <t xml:space="preserve">Number of Offers per Customer</t>
  </si>
  <si>
    <t xml:space="preserve">Number of documents per Case</t>
  </si>
  <si>
    <t xml:space="preserve">Size of document</t>
  </si>
  <si>
    <t xml:space="preserve">Reports downloaded in PDF per hour</t>
  </si>
  <si>
    <t xml:space="preserve">Number of Email/SMS sent</t>
  </si>
  <si>
    <t xml:space="preserve">Rest API hits per hour</t>
  </si>
  <si>
    <t xml:space="preserve">Platform MS hits per hour</t>
  </si>
  <si>
    <t xml:space="preserve">Num of SLAs hit per hour</t>
  </si>
  <si>
    <t xml:space="preserve">Resources as per Load Testing</t>
  </si>
  <si>
    <t xml:space="preserve">Resources calculation as per per hour volumes</t>
  </si>
  <si>
    <t xml:space="preserve">Service</t>
  </si>
  <si>
    <t xml:space="preserve">Parameter</t>
  </si>
  <si>
    <t xml:space="preserve">Value</t>
  </si>
  <si>
    <t xml:space="preserve">vCPU</t>
  </si>
  <si>
    <t xml:space="preserve">Memory (GB)</t>
  </si>
  <si>
    <t xml:space="preserve">Remarks</t>
  </si>
  <si>
    <t xml:space="preserve">businessnext-app</t>
  </si>
  <si>
    <t xml:space="preserve">businessnext-mobile</t>
  </si>
  <si>
    <t xml:space="preserve">Actual mobile concurrency or 30% of app concurrency</t>
  </si>
  <si>
    <t xml:space="preserve">API mobile case</t>
  </si>
  <si>
    <t xml:space="preserve">RestAPI</t>
  </si>
  <si>
    <t xml:space="preserve">Image processing</t>
  </si>
  <si>
    <t xml:space="preserve">1 img per second</t>
  </si>
  <si>
    <t xml:space="preserve">PDF processing</t>
  </si>
  <si>
    <t xml:space="preserve">Doc processing</t>
  </si>
  <si>
    <t xml:space="preserve">1 Doc per second</t>
  </si>
  <si>
    <t xml:space="preserve">SLA ms</t>
  </si>
  <si>
    <t xml:space="preserve">Script-utility</t>
  </si>
  <si>
    <t xml:space="preserve">One time activity</t>
  </si>
  <si>
    <t xml:space="preserve">Fscalation ms</t>
  </si>
  <si>
    <t xml:space="preserve">Communication MS</t>
  </si>
  <si>
    <t xml:space="preserve">Number of Fmail/SMS sent</t>
  </si>
  <si>
    <t xml:space="preserve">Fscalation SDK</t>
  </si>
  <si>
    <t xml:space="preserve">Platform MS</t>
  </si>
  <si>
    <t xml:space="preserve">Fmail Syndication SDK</t>
  </si>
  <si>
    <t xml:space="preserve">Number of Fmails captured for Lead/Case creation</t>
  </si>
  <si>
    <t xml:space="preserve">Syndication Poller</t>
  </si>
  <si>
    <t xml:space="preserve">Syndication Capture</t>
  </si>
  <si>
    <t xml:space="preserve">Syndication Capture Worker</t>
  </si>
  <si>
    <t xml:space="preserve">Integration</t>
  </si>
  <si>
    <t xml:space="preserve">Static values as calculation not available</t>
  </si>
  <si>
    <t xml:space="preserve">XSLT Fusion</t>
  </si>
  <si>
    <t xml:space="preserve">Dynamic logging</t>
  </si>
  <si>
    <t xml:space="preserve">Total</t>
  </si>
  <si>
    <t xml:space="preserve">Volumes</t>
  </si>
  <si>
    <t xml:space="preserve">Years</t>
  </si>
  <si>
    <t xml:space="preserve">Total vCPU</t>
  </si>
  <si>
    <t xml:space="preserve">Total Memory(GB)</t>
  </si>
  <si>
    <t xml:space="preserve"> Attachments per object</t>
  </si>
  <si>
    <t xml:space="preserve">System Object</t>
  </si>
  <si>
    <t xml:space="preserve">Business 
Or 
Similar Object</t>
  </si>
  <si>
    <t xml:space="preserve">Size per record</t>
  </si>
  <si>
    <t xml:space="preserve">Has Flow Data</t>
  </si>
  <si>
    <t xml:space="preserve">Count</t>
  </si>
  <si>
    <t xml:space="preserve">Total Size</t>
  </si>
  <si>
    <t xml:space="preserve">Total Row Size</t>
  </si>
  <si>
    <t xml:space="preserve">Account</t>
  </si>
  <si>
    <t xml:space="preserve">KB</t>
  </si>
  <si>
    <t xml:space="preserve">Single Record</t>
  </si>
  <si>
    <t xml:space="preserve">Lead</t>
  </si>
  <si>
    <t xml:space="preserve">History Records</t>
  </si>
  <si>
    <t xml:space="preserve">Case</t>
  </si>
  <si>
    <t xml:space="preserve">Service Request (Case)</t>
  </si>
  <si>
    <t xml:space="preserve">Contract</t>
  </si>
  <si>
    <t xml:space="preserve">Campaign</t>
  </si>
  <si>
    <t xml:space="preserve">Extended Fields</t>
  </si>
  <si>
    <t xml:space="preserve">Offer</t>
  </si>
  <si>
    <t xml:space="preserve">Image Fields</t>
  </si>
  <si>
    <t xml:space="preserve">Opportunity</t>
  </si>
  <si>
    <t xml:space="preserve">Credit</t>
  </si>
  <si>
    <t xml:space="preserve">Profile Images</t>
  </si>
  <si>
    <t xml:space="preserve">Holding</t>
  </si>
  <si>
    <t xml:space="preserve">Activity</t>
  </si>
  <si>
    <t xml:space="preserve">Contact</t>
  </si>
  <si>
    <t xml:space="preserve">Renewal/Payment</t>
  </si>
  <si>
    <t xml:space="preserve">Facility</t>
  </si>
  <si>
    <t xml:space="preserve">With Flow Data</t>
  </si>
  <si>
    <t xml:space="preserve">Attachment DB Record</t>
  </si>
  <si>
    <t xml:space="preserve">N/A</t>
  </si>
  <si>
    <t xml:space="preserve">Size in KB</t>
  </si>
  <si>
    <t xml:space="preserve">History</t>
  </si>
  <si>
    <t xml:space="preserve">As parent</t>
  </si>
  <si>
    <t xml:space="preserve">Branches</t>
  </si>
  <si>
    <t xml:space="preserve">Extended Fields Avg Size</t>
  </si>
  <si>
    <t xml:space="preserve">Avg Size of Single Extended Field</t>
  </si>
  <si>
    <t xml:space="preserve">Flow Data</t>
  </si>
  <si>
    <t xml:space="preserve">Multiple of estimated object size</t>
  </si>
  <si>
    <t xml:space="preserve">times</t>
  </si>
  <si>
    <t xml:space="preserve">Set Parameters</t>
  </si>
  <si>
    <t xml:space="preserve">SMS Log</t>
  </si>
  <si>
    <t xml:space="preserve">Email Log</t>
  </si>
  <si>
    <t xml:space="preserve">Attachment/File Size</t>
  </si>
  <si>
    <t xml:space="preserve">Profile Image Field</t>
  </si>
  <si>
    <t xml:space="preserve">Image Field</t>
  </si>
  <si>
    <t xml:space="preserve">Size In KB</t>
  </si>
  <si>
    <t xml:space="preserve">Temp DB</t>
  </si>
  <si>
    <t xml:space="preserve">Of Object Storage</t>
  </si>
  <si>
    <t xml:space="preserve">Transaciton Log:</t>
  </si>
  <si>
    <t xml:space="preserve">Integration Area</t>
  </si>
  <si>
    <t xml:space="preserve">Primary FG/TS</t>
  </si>
  <si>
    <t xml:space="preserve">History Record</t>
  </si>
  <si>
    <t xml:space="preserve">Temp DB log</t>
  </si>
  <si>
    <t xml:space="preserve">Of Temp DB</t>
  </si>
  <si>
    <t xml:space="preserve">CRMNEXT Logs</t>
  </si>
  <si>
    <r>
      <rPr>
        <b val="true"/>
        <sz val="11"/>
        <color rgb="FF000000"/>
        <rFont val="Calibri"/>
        <family val="2"/>
        <charset val="1"/>
      </rPr>
      <t xml:space="preserve">CRMNEXT Logs</t>
    </r>
    <r>
      <rPr>
        <sz val="11"/>
        <color rgb="FF000000"/>
        <rFont val="Calibri"/>
        <family val="2"/>
        <charset val="1"/>
      </rPr>
      <t xml:space="preserve">: Schema Log, API Logs etc. should be purged quartely basis or earlier as it may impact the storage sizing heavily</t>
    </r>
  </si>
  <si>
    <t xml:space="preserve">1st Year</t>
  </si>
  <si>
    <t xml:space="preserve">2nd Year</t>
  </si>
  <si>
    <t xml:space="preserve">3rd Year</t>
  </si>
  <si>
    <t xml:space="preserve">4th Year</t>
  </si>
  <si>
    <t xml:space="preserve">5th Year</t>
  </si>
  <si>
    <t xml:space="preserve">Object Storage</t>
  </si>
  <si>
    <t xml:space="preserve">Total Count</t>
  </si>
  <si>
    <t xml:space="preserve">Size</t>
  </si>
  <si>
    <t xml:space="preserve">Attachment Table</t>
  </si>
  <si>
    <t xml:space="preserve">Total Object Storage</t>
  </si>
  <si>
    <t xml:space="preserve">Size 
in GB</t>
  </si>
  <si>
    <t xml:space="preserve">Final Database Size (GB)</t>
  </si>
  <si>
    <t xml:space="preserve">Primary Filegroup /Tablespace</t>
  </si>
  <si>
    <t xml:space="preserve">Temp DB Log</t>
  </si>
  <si>
    <t xml:space="preserve">CRMNEXT Log</t>
  </si>
  <si>
    <t xml:space="preserve">Total: 1st  year</t>
  </si>
  <si>
    <t xml:space="preserve">Total: 2nd  year</t>
  </si>
  <si>
    <t xml:space="preserve">Total: 3rd  year</t>
  </si>
  <si>
    <t xml:space="preserve">Total: 4th  year</t>
  </si>
  <si>
    <t xml:space="preserve">Total: 5th  year</t>
  </si>
  <si>
    <t xml:space="preserve">Usable Space</t>
  </si>
  <si>
    <t xml:space="preserve">GB</t>
  </si>
  <si>
    <t xml:space="preserve">                 </t>
  </si>
  <si>
    <t xml:space="preserve">File Disk Storage</t>
  </si>
  <si>
    <t xml:space="preserve">File Count</t>
  </si>
  <si>
    <t xml:space="preserve">Object Storage </t>
  </si>
  <si>
    <t xml:space="preserve">Total File Storage</t>
  </si>
  <si>
    <t xml:space="preserve">Disk File Storage (GB)</t>
  </si>
  <si>
    <t xml:space="preserve">Temp File Storage</t>
  </si>
  <si>
    <t xml:space="preserve">Total: 2nd year</t>
  </si>
  <si>
    <t xml:space="preserve">Select Values here</t>
  </si>
  <si>
    <t xml:space="preserve">CSP</t>
  </si>
  <si>
    <t xml:space="preserve">Region</t>
  </si>
  <si>
    <t xml:space="preserve">No of AZs</t>
  </si>
  <si>
    <t xml:space="preserve">Year</t>
  </si>
  <si>
    <t xml:space="preserve">Database</t>
  </si>
  <si>
    <t xml:space="preserve">Database Option</t>
  </si>
  <si>
    <t xml:space="preserve">DB License type</t>
  </si>
  <si>
    <t xml:space="preserve">Reporting DB required</t>
  </si>
  <si>
    <t xml:space="preserve">Grafana-Prometheus &amp; EFK reuired(Optional)</t>
  </si>
  <si>
    <t xml:space="preserve">GCP</t>
  </si>
  <si>
    <t xml:space="preserve">Mumbai</t>
  </si>
  <si>
    <t xml:space="preserve">Oracle Database</t>
  </si>
  <si>
    <t xml:space="preserve">Cloud Managed Database</t>
  </si>
  <si>
    <t xml:space="preserve">Cloud managed</t>
  </si>
  <si>
    <t xml:space="preserve">Data Table</t>
  </si>
  <si>
    <t xml:space="preserve">DO NOT TOUCH!!!</t>
  </si>
  <si>
    <t xml:space="preserve">Worker Nodes Linux/RHEL - CRMnext</t>
  </si>
  <si>
    <t xml:space="preserve">CRMnext Database Server vCPU</t>
  </si>
  <si>
    <t xml:space="preserve">Persistance DB Storage </t>
  </si>
  <si>
    <t xml:space="preserve">File Storage</t>
  </si>
  <si>
    <t xml:space="preserve">DB vCPU</t>
  </si>
  <si>
    <t xml:space="preserve">DB vCPU - Adjusted</t>
  </si>
  <si>
    <t xml:space="preserve">Get Value</t>
  </si>
  <si>
    <t xml:space="preserve">Cloud Managed K8s</t>
  </si>
  <si>
    <t xml:space="preserve">CRMnext Database Server vCPU - Adjusted</t>
  </si>
  <si>
    <t xml:space="preserve">Database Servers</t>
  </si>
  <si>
    <t xml:space="preserve">DB servers helper</t>
  </si>
  <si>
    <t xml:space="preserve">Server</t>
  </si>
  <si>
    <t xml:space="preserve">License</t>
  </si>
  <si>
    <t xml:space="preserve">MS SQL Database</t>
  </si>
  <si>
    <t xml:space="preserve">DB on Nodes</t>
  </si>
  <si>
    <t xml:space="preserve">Windows Nodes</t>
  </si>
  <si>
    <t xml:space="preserve">SQL License</t>
  </si>
  <si>
    <t xml:space="preserve">Cloud Managed DB service</t>
  </si>
  <si>
    <t xml:space="preserve">Linux/RHEL Nodes</t>
  </si>
  <si>
    <t xml:space="preserve">Oracle License</t>
  </si>
  <si>
    <t xml:space="preserve">Persistance DB Storage IOPS</t>
  </si>
  <si>
    <t xml:space="preserve">Redis</t>
  </si>
  <si>
    <t xml:space="preserve">Grafana-Prometheus &amp; EFK Nodes</t>
  </si>
  <si>
    <t xml:space="preserve">Reporting DB Nodes</t>
  </si>
  <si>
    <t xml:space="preserve">Cloud DB service helper</t>
  </si>
  <si>
    <t xml:space="preserve">Cloud DB service</t>
  </si>
  <si>
    <t xml:space="preserve">Image Registry</t>
  </si>
  <si>
    <t xml:space="preserve">Memory Optimized</t>
  </si>
  <si>
    <t xml:space="preserve">NAT Gateway</t>
  </si>
  <si>
    <t xml:space="preserve">RDS</t>
  </si>
  <si>
    <t xml:space="preserve">Cloud SQL</t>
  </si>
  <si>
    <t xml:space="preserve">Bare Metal Solution for Oracle</t>
  </si>
  <si>
    <t xml:space="preserve">Azure</t>
  </si>
  <si>
    <t xml:space="preserve">Azure Database</t>
  </si>
  <si>
    <t xml:space="preserve">Nodes</t>
  </si>
  <si>
    <t xml:space="preserve">K8s</t>
  </si>
  <si>
    <t xml:space="preserve">Disk Storage</t>
  </si>
  <si>
    <t xml:space="preserve">NAT GW</t>
  </si>
  <si>
    <t xml:space="preserve">EKS</t>
  </si>
  <si>
    <t xml:space="preserve">S3</t>
  </si>
  <si>
    <t xml:space="preserve">Elasticache</t>
  </si>
  <si>
    <t xml:space="preserve">ECR</t>
  </si>
  <si>
    <t xml:space="preserve">GKE</t>
  </si>
  <si>
    <t xml:space="preserve">Cloud Storage</t>
  </si>
  <si>
    <t xml:space="preserve">MemoryStore</t>
  </si>
  <si>
    <t xml:space="preserve">Artifact Registry</t>
  </si>
  <si>
    <t xml:space="preserve">Cloud NAT</t>
  </si>
  <si>
    <t xml:space="preserve">AKS</t>
  </si>
  <si>
    <t xml:space="preserve">Blob Storage</t>
  </si>
  <si>
    <t xml:space="preserve">Azure Cache</t>
  </si>
  <si>
    <t xml:space="preserve">Container Registry</t>
  </si>
  <si>
    <t xml:space="preserve">Azure Virtual Network NAT</t>
  </si>
  <si>
    <t xml:space="preserve">Environment</t>
  </si>
  <si>
    <t xml:space="preserve">PROD</t>
  </si>
  <si>
    <t xml:space="preserve">Services/Instances</t>
  </si>
  <si>
    <t xml:space="preserve">Type</t>
  </si>
  <si>
    <t xml:space="preserve">Pricing Model</t>
  </si>
  <si>
    <t xml:space="preserve">Per Node
vCPU</t>
  </si>
  <si>
    <t xml:space="preserve">Per Node 
RAM (GB)</t>
  </si>
  <si>
    <t xml:space="preserve">Per Node 
Storage (GB)</t>
  </si>
  <si>
    <t xml:space="preserve">Total 
vCPU</t>
  </si>
  <si>
    <t xml:space="preserve">Total 
RAM 
(GB)</t>
  </si>
  <si>
    <t xml:space="preserve">Total 
Storage
(TB)</t>
  </si>
  <si>
    <t xml:space="preserve">Kubernetes Cluster</t>
  </si>
  <si>
    <t xml:space="preserve">Compute Intensive</t>
  </si>
  <si>
    <t xml:space="preserve">Reserved</t>
  </si>
  <si>
    <t xml:space="preserve">Worker Nodes Linux/RHEL - Graphana &amp; Prometheus</t>
  </si>
  <si>
    <t xml:space="preserve"> </t>
  </si>
  <si>
    <t xml:space="preserve">Worker Nodes Linux/RHEL - EFK Stack </t>
  </si>
  <si>
    <t xml:space="preserve">Persistance DB Storage</t>
  </si>
  <si>
    <t xml:space="preserve">DMS</t>
  </si>
  <si>
    <t xml:space="preserve">On-Demand</t>
  </si>
  <si>
    <t xml:space="preserve">Caching &amp; Session</t>
  </si>
  <si>
    <t xml:space="preserve">Infrastructure &amp; Monitoring</t>
  </si>
  <si>
    <t xml:space="preserve">Bastion Host</t>
  </si>
  <si>
    <t xml:space="preserve">General Purpose</t>
  </si>
  <si>
    <t xml:space="preserve">Elastic IPs</t>
  </si>
  <si>
    <t xml:space="preserve">Load Balancer</t>
  </si>
  <si>
    <t xml:space="preserve">Internet Gateway</t>
  </si>
  <si>
    <t xml:space="preserve">Back Up - DB &amp; Infra Logs</t>
  </si>
  <si>
    <t xml:space="preserve">As per customer's policy</t>
  </si>
  <si>
    <t xml:space="preserve">Transit Gateway</t>
  </si>
  <si>
    <t xml:space="preserve">Monitoring</t>
  </si>
  <si>
    <t xml:space="preserve">Web Application Firewall (WAF)</t>
  </si>
  <si>
    <t xml:space="preserve">Security Hub</t>
  </si>
  <si>
    <t xml:space="preserve">Guardduty</t>
  </si>
  <si>
    <t xml:space="preserve">Inspector</t>
  </si>
  <si>
    <t xml:space="preserve">AWS config</t>
  </si>
  <si>
    <t xml:space="preserve">CloudTrail</t>
  </si>
  <si>
    <t xml:space="preserve">Storage Gateway</t>
  </si>
  <si>
    <t xml:space="preserve">AWS Key Management Service</t>
  </si>
  <si>
    <t xml:space="preserve">Email Service</t>
  </si>
  <si>
    <t xml:space="preserve">500K mails/month</t>
  </si>
  <si>
    <t xml:space="preserve">VPN Gateway/Direct Connect/Data Transfer</t>
  </si>
  <si>
    <t xml:space="preserve">DT Inbound: Internet (15 TB per month), DT Outbound: Internet (15 TB per month), DT Intra-Region: (10 TB per month), Data transfer out (15 TB) towads Bank DC</t>
  </si>
  <si>
    <t xml:space="preserve">BUSINESSNEXT SERVER ESTIMATES</t>
  </si>
  <si>
    <t xml:space="preserve">Considerations</t>
  </si>
  <si>
    <t xml:space="preserve">Artifacts</t>
  </si>
  <si>
    <t xml:space="preserve">1 Year </t>
  </si>
  <si>
    <t xml:space="preserve">2 Year </t>
  </si>
  <si>
    <t xml:space="preserve">3 Year</t>
  </si>
  <si>
    <t xml:space="preserve">4 Year</t>
  </si>
  <si>
    <t xml:space="preserve">5 Year</t>
  </si>
  <si>
    <t xml:space="preserve">Concurrency</t>
  </si>
  <si>
    <t xml:space="preserve">BUSINESSNEXT Worker Nodes</t>
  </si>
  <si>
    <t xml:space="preserve">Total vCPUs Required</t>
  </si>
  <si>
    <t xml:space="preserve">Total Memory Required (GB)</t>
  </si>
  <si>
    <t xml:space="preserve">vCPU Fraction (/16)</t>
  </si>
  <si>
    <t xml:space="preserve">Memory Fraction (/32)</t>
  </si>
  <si>
    <t xml:space="preserve">BUSINESSNEXT DB Server</t>
  </si>
  <si>
    <t xml:space="preserve">Concurrent Users per DB core</t>
  </si>
  <si>
    <t xml:space="preserve">Cores Required for DB Server</t>
  </si>
  <si>
    <t xml:space="preserve">Additional Phy. Cores Required for Integration Service</t>
  </si>
  <si>
    <t xml:space="preserve">If multiple integration jobs need to be considered then please refer additional cores according to requirement. 
By Default 8 additional cores are taken for DB Server.</t>
  </si>
  <si>
    <t xml:space="preserve">Additional Phy. Cores Required for WebAPI</t>
  </si>
  <si>
    <t xml:space="preserve">If BUSINESSNEXT WEB API will be used heavily then please refer additional cores according to requirement. 
By Default 2 additional cores are taken for DB Server.</t>
  </si>
  <si>
    <t xml:space="preserve">Total Phy. Cores Required (C23+C24+C25)</t>
  </si>
  <si>
    <t xml:space="preserve">Total Worker Nodes(8 Phy. Cores/16vCPU Each)</t>
  </si>
  <si>
    <t xml:space="preserve">70% server usage is considered.</t>
  </si>
  <si>
    <t xml:space="preserve">Total cores Required</t>
  </si>
  <si>
    <t xml:space="preserve">1:2 ratio is considerd for Physical Cores and vCPUs.</t>
  </si>
  <si>
    <t xml:space="preserve">Total RAM (GB) Required for SQL server</t>
  </si>
  <si>
    <t xml:space="preserve">RAM is considerd as 8 multiples of vCPUs on basis of Load Test.</t>
  </si>
  <si>
    <t xml:space="preserve">Total RAM (GB) Required for Oracle DB</t>
  </si>
  <si>
    <t xml:space="preserve">Total RAM (GB) Required for Postgres DB</t>
  </si>
  <si>
    <t xml:space="preserve">RAM is considerd as 4 multiples of vCPUs on basis of Load Test.</t>
  </si>
  <si>
    <t xml:space="preserve">BUSINESSNEXT Reporting Database Server - required</t>
  </si>
  <si>
    <t xml:space="preserve">If Yes, it copies the same values from DB server.
If No, values are saved as 0.</t>
  </si>
  <si>
    <t xml:space="preserve">Total RAM (GB) Required for SQL server (vCPU x 8)</t>
  </si>
  <si>
    <t xml:space="preserve">Total RAM (GB) Required for Oracle DB (vCPU x 8)</t>
  </si>
  <si>
    <t xml:space="preserve">Total RAM (GB) Required for Postgres DB (vCPU x 4)</t>
  </si>
  <si>
    <t xml:space="preserve">Data size (GB)</t>
  </si>
  <si>
    <t xml:space="preserve">Round up to 100 GB volume is considered.</t>
  </si>
  <si>
    <t xml:space="preserve">DMS size (GB)</t>
  </si>
  <si>
    <t xml:space="preserve">Bandwidth Calculation - Shared Connection</t>
  </si>
  <si>
    <t xml:space="preserve">Page</t>
  </si>
  <si>
    <t xml:space="preserve">Response Time</t>
  </si>
  <si>
    <t xml:space="preserve">sec</t>
  </si>
  <si>
    <t xml:space="preserve">Think Time</t>
  </si>
  <si>
    <t xml:space="preserve">Total Time for Download/Upload</t>
  </si>
  <si>
    <t xml:space="preserve">Static Cacheable Content</t>
  </si>
  <si>
    <t xml:space="preserve">Cache Hit Ratio</t>
  </si>
  <si>
    <t xml:space="preserve">Static Content Download</t>
  </si>
  <si>
    <t xml:space="preserve">Total Download/Upload</t>
  </si>
  <si>
    <t xml:space="preserve">Total Bandwidth Required</t>
  </si>
  <si>
    <t xml:space="preserve">kbps</t>
  </si>
  <si>
    <t xml:space="preserve">Document</t>
  </si>
  <si>
    <t xml:space="preserve">mbps</t>
  </si>
  <si>
    <t xml:space="preserve">gbps</t>
  </si>
  <si>
    <t xml:space="preserve">S.N.</t>
  </si>
  <si>
    <t xml:space="preserve">Volume and Concurrency</t>
  </si>
  <si>
    <t xml:space="preserve">Assumed data volumes and concurrency are specified for the end of 1st, 3rd, 5th Year</t>
  </si>
  <si>
    <t xml:space="preserve">25% purging every 6 month is considered for purging objects every year</t>
  </si>
  <si>
    <t xml:space="preserve">Total concurrency is including mobile usage also if applicable</t>
  </si>
  <si>
    <t xml:space="preserve">Reporting Server</t>
  </si>
  <si>
    <t xml:space="preserve">Being a transactional system, reports are supported with limited data range in production server. For large computational and high data range reports, separate reporting server is considered. Heavy Reports are recommended to be fetched from reporting server DB which should be sync in DC DB.</t>
  </si>
  <si>
    <t xml:space="preserve">Alternatively, DR Server can be used as Reporting Server in Read Only Mode, However it is customer decision to keep reporting server and DR same or as separate setup.</t>
  </si>
  <si>
    <t xml:space="preserve">Heavy Reports should be run at off peak hours for best performance</t>
  </si>
  <si>
    <t xml:space="preserve">Pre-Production</t>
  </si>
  <si>
    <t xml:space="preserve">If delivery is in multiple phases then pre-prod environment will be required which would be exactly replica of production environment with reduced sizing. However, for single phase delivery it can be considered as optional requirement.</t>
  </si>
  <si>
    <t xml:space="preserve">Alternatively, Performance Testing Environment may be utilized as Pre-Prod, once testing would be completed.</t>
  </si>
  <si>
    <t xml:space="preserve">Performance Testing</t>
  </si>
  <si>
    <t xml:space="preserve">To simulate production equivalent load, production like configuration has been suggested for performance testing server. It is recommended to simulate load test and check application performance every year.</t>
  </si>
  <si>
    <t xml:space="preserve">Default DMS storage is considered for keeping the uploaded documents which would eventually be synchronized with Customer's Enterprise DMS.</t>
  </si>
  <si>
    <t xml:space="preserve">High Availability (HA)</t>
  </si>
  <si>
    <t xml:space="preserve">For Oracle Database HA configuration, any option out of Active-Active or Active-Passive can be considered. However, for Active-Active HA, Oracle RAC need to be configured. </t>
  </si>
  <si>
    <t xml:space="preserve">For SQL Server Database HA Configuration only Active-Passive can be considered using AlwaysON feature of SQL Server Enterprise Version. </t>
  </si>
  <si>
    <t xml:space="preserve">Miscellaneous</t>
  </si>
  <si>
    <t xml:space="preserve">If data volume, user concurrency changes then the proposed sizing need to be revisited. Provided sizing is only for approximation and may vary according to volume and deployment options</t>
  </si>
  <si>
    <t xml:space="preserve">This storage is only for CRMNEXT data only. Database Backup size is out of sizing scope. Infra procurement vendor will consider these parameters separately while procuring database based on customer's rentention policy.</t>
  </si>
  <si>
    <t xml:space="preserve">CRMNEXT application will be requiring dedicated servers</t>
  </si>
  <si>
    <t xml:space="preserve">Cores need to be considered as Physical cores. In Virtual Set up, equivalent physical cores should be allocated for all environments (Production/UAT/SIT) with all servers(e.g. DB Server and App Server).</t>
  </si>
  <si>
    <t xml:space="preserve">Infra procurement vendor will give exact inside of HLB capacity and configuration</t>
  </si>
  <si>
    <t xml:space="preserve">Integration jobs where (e.g. inserts/updates/delete) have large volumes should be scheduled at off peak hours for best performance</t>
  </si>
  <si>
    <t xml:space="preserve">Web Servers are considered if application hosted at DMZ with high availability</t>
  </si>
  <si>
    <t xml:space="preserve">Customer need to procure the DR System exactly similar to Production environment. Alternatively DR system can be prepared as when required. Having said all the backup for all the volumes and system instances should be inline with production according to customer's RPO &amp; RTO.</t>
  </si>
  <si>
    <t xml:space="preserve">For HA, AWS RDS Service is considered for 99.9% availability</t>
  </si>
  <si>
    <t xml:space="preserve">Assumed data volumes and concurrency are specified on monthly basis</t>
  </si>
  <si>
    <t xml:space="preserve">In case of near real time reports Enterprise Edition will be required else Day-1 data can be fetched with Database Standard Edition.</t>
  </si>
  <si>
    <t xml:space="preserve">If delivery is in multiple phases then pre-prod environment will be available on demand which will have hourly based additional cost to customer. Also this environment will be limited to 5-10 concurrent users.</t>
  </si>
  <si>
    <t xml:space="preserve">CRMNEXT understand the crticality of business continuity in best economical way. So DR system is prepared as when required. Having said all the backup for all the volumes and system instances are inline in production daily/4 hourly schedule activity. By default RTO is of 6 hours with 4 hours of RPO. If there is any requirement of less RTO &amp; RPO then infra cost will be additional. </t>
  </si>
  <si>
    <t xml:space="preserve">To simulate production equivalent load, production like configuration has been suggested for performance testing server. It is recommended to simulate load test and check application performance every year. This environment will be available in additional cost to customer.</t>
  </si>
  <si>
    <t xml:space="preserve">This environment is valid for 20-30 concurrent users.</t>
  </si>
  <si>
    <t xml:space="preserve">This environment is valid for 20-30 concurrent users and available in additional cost to customer.</t>
  </si>
  <si>
    <t xml:space="preserve">TRAINING</t>
  </si>
  <si>
    <t xml:space="preserve">2GB per user DMS space is included in license. If there is any additional reuirement of DMS storage then it will be in additional cost to customer.</t>
  </si>
  <si>
    <t xml:space="preserve">AWS ROUTE 53 Service</t>
  </si>
  <si>
    <t xml:space="preserve"> If DNS is not managed by customer then this service will be required and will have additional cost.</t>
  </si>
  <si>
    <t xml:space="preserve">AWS VPN Connections</t>
  </si>
  <si>
    <t xml:space="preserve">Default 5 VPN Connections are considered, if more VPN Connection are required then it will be at addiational cost. This service is required to bridge between a company's existing IT infrastructure and the AWS cloud in secure mode.</t>
  </si>
  <si>
    <t xml:space="preserve">This storage is only for CRMNEXT data only. Database Backup size is considered as backup policy of managed services. If there is any requirement of additional backup according to customer's rentention policy then it will be additional cost to customer.</t>
  </si>
  <si>
    <t xml:space="preserve">Production + Sandbox Environment cost is included into per user infra cost.</t>
  </si>
</sst>
</file>

<file path=xl/styles.xml><?xml version="1.0" encoding="utf-8"?>
<styleSheet xmlns="http://schemas.openxmlformats.org/spreadsheetml/2006/main">
  <numFmts count="14">
    <numFmt numFmtId="164" formatCode="General"/>
    <numFmt numFmtId="165" formatCode="_ * #,##0.00_ ;_ * \-#,##0.00_ ;_ * \-??_ ;_ @_ "/>
    <numFmt numFmtId="166" formatCode="0%"/>
    <numFmt numFmtId="167" formatCode="0.0"/>
    <numFmt numFmtId="168" formatCode="#,##0"/>
    <numFmt numFmtId="169" formatCode="_ * #,##0_ ;_ * \-#,##0_ ;_ * \-??_ ;_ @_ "/>
    <numFmt numFmtId="170" formatCode="0"/>
    <numFmt numFmtId="171" formatCode="0.00%"/>
    <numFmt numFmtId="172" formatCode="General"/>
    <numFmt numFmtId="173" formatCode="#,##0\ ;&quot; (&quot;#,##0\);&quot; -&quot;#\ ;@\ "/>
    <numFmt numFmtId="174" formatCode="0.00"/>
    <numFmt numFmtId="175" formatCode="0.0\K"/>
    <numFmt numFmtId="176" formatCode="0\K"/>
    <numFmt numFmtId="177" formatCode="0.0%"/>
  </numFmts>
  <fonts count="52">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sz val="11"/>
      <color rgb="FF000000"/>
      <name val="Calibri"/>
      <family val="2"/>
      <charset val="1"/>
    </font>
    <font>
      <sz val="11"/>
      <color theme="1"/>
      <name val="Calibri"/>
      <family val="2"/>
      <charset val="1"/>
    </font>
    <font>
      <sz val="12"/>
      <color rgb="FF000000"/>
      <name val="Aptos Narrow"/>
      <family val="2"/>
      <charset val="1"/>
    </font>
    <font>
      <b val="true"/>
      <sz val="10"/>
      <color rgb="FF000000"/>
      <name val="Calibri"/>
      <family val="2"/>
      <charset val="1"/>
    </font>
    <font>
      <sz val="10"/>
      <color rgb="FF000000"/>
      <name val="Calibri"/>
      <family val="2"/>
      <charset val="1"/>
    </font>
    <font>
      <u val="single"/>
      <sz val="10"/>
      <color theme="10"/>
      <name val="Calibri"/>
      <family val="2"/>
      <charset val="1"/>
    </font>
    <font>
      <u val="single"/>
      <sz val="11"/>
      <color theme="10"/>
      <name val="Calibri"/>
      <family val="2"/>
      <charset val="1"/>
    </font>
    <font>
      <b val="true"/>
      <sz val="14"/>
      <color rgb="FF0070C0"/>
      <name val="Calibri"/>
      <family val="2"/>
      <charset val="1"/>
    </font>
    <font>
      <b val="true"/>
      <sz val="20"/>
      <color rgb="FF0070C0"/>
      <name val="Calibri"/>
      <family val="2"/>
      <charset val="1"/>
    </font>
    <font>
      <sz val="11"/>
      <name val="Calibri"/>
      <family val="2"/>
      <charset val="1"/>
    </font>
    <font>
      <b val="true"/>
      <sz val="10"/>
      <color theme="0"/>
      <name val="Calibri"/>
      <family val="2"/>
      <charset val="1"/>
    </font>
    <font>
      <sz val="10"/>
      <color theme="1"/>
      <name val="Calibri"/>
      <family val="2"/>
      <charset val="1"/>
    </font>
    <font>
      <sz val="10"/>
      <color rgb="FF0070C0"/>
      <name val="Calibri"/>
      <family val="2"/>
      <charset val="1"/>
    </font>
    <font>
      <sz val="10"/>
      <name val="Calibri"/>
      <family val="2"/>
      <charset val="1"/>
    </font>
    <font>
      <sz val="10"/>
      <color rgb="FF0070C0"/>
      <name val="Times New Roman"/>
      <family val="1"/>
      <charset val="1"/>
    </font>
    <font>
      <b val="true"/>
      <sz val="10"/>
      <color theme="1"/>
      <name val="Calibri"/>
      <family val="2"/>
      <charset val="1"/>
    </font>
    <font>
      <b val="true"/>
      <sz val="12"/>
      <color rgb="FFFFFFFF"/>
      <name val="Calibri"/>
      <family val="2"/>
      <charset val="1"/>
    </font>
    <font>
      <b val="true"/>
      <sz val="10"/>
      <name val="Calibri"/>
      <family val="2"/>
      <charset val="1"/>
    </font>
    <font>
      <i val="true"/>
      <sz val="10"/>
      <name val="Calibri"/>
      <family val="2"/>
      <charset val="1"/>
    </font>
    <font>
      <sz val="11"/>
      <color rgb="FF0070C0"/>
      <name val="Calibri"/>
      <family val="2"/>
      <charset val="1"/>
    </font>
    <font>
      <b val="true"/>
      <sz val="16"/>
      <name val="Calibri"/>
      <family val="2"/>
      <charset val="1"/>
    </font>
    <font>
      <b val="true"/>
      <sz val="10"/>
      <color rgb="FFFFFFFF"/>
      <name val="Calibri"/>
      <family val="2"/>
      <charset val="1"/>
    </font>
    <font>
      <b val="true"/>
      <sz val="11"/>
      <color rgb="FF000000"/>
      <name val="Calibri"/>
      <family val="2"/>
      <charset val="1"/>
    </font>
    <font>
      <b val="true"/>
      <sz val="10"/>
      <color rgb="FF333399"/>
      <name val="Calibri"/>
      <family val="2"/>
      <charset val="1"/>
    </font>
    <font>
      <b val="true"/>
      <sz val="10"/>
      <color rgb="FF0070C0"/>
      <name val="Calibri"/>
      <family val="2"/>
      <charset val="1"/>
    </font>
    <font>
      <sz val="16"/>
      <name val="Calibri"/>
      <family val="2"/>
      <charset val="1"/>
    </font>
    <font>
      <b val="true"/>
      <sz val="16"/>
      <color rgb="FFFFFFFF"/>
      <name val="Calibri"/>
      <family val="2"/>
      <charset val="1"/>
    </font>
    <font>
      <sz val="10"/>
      <name val="Arial"/>
      <family val="2"/>
    </font>
    <font>
      <b val="true"/>
      <sz val="11"/>
      <color rgb="FF000118"/>
      <name val="Calibri"/>
      <family val="2"/>
      <charset val="1"/>
    </font>
    <font>
      <b val="true"/>
      <sz val="11"/>
      <color theme="0"/>
      <name val="Calibri"/>
      <family val="2"/>
      <charset val="1"/>
    </font>
    <font>
      <b val="true"/>
      <sz val="11"/>
      <color theme="1"/>
      <name val="Calibri"/>
      <family val="2"/>
      <charset val="1"/>
    </font>
    <font>
      <sz val="11"/>
      <color rgb="FF282829"/>
      <name val="Calibri"/>
      <family val="2"/>
      <charset val="1"/>
    </font>
    <font>
      <sz val="11"/>
      <color rgb="FF202124"/>
      <name val="Roboto"/>
      <family val="0"/>
      <charset val="1"/>
    </font>
    <font>
      <b val="true"/>
      <sz val="14"/>
      <color theme="1"/>
      <name val="Calibri"/>
      <family val="2"/>
      <charset val="1"/>
    </font>
    <font>
      <b val="true"/>
      <sz val="14"/>
      <color rgb="FF000000"/>
      <name val="Calibri"/>
      <family val="2"/>
      <charset val="1"/>
    </font>
    <font>
      <sz val="14"/>
      <color theme="1"/>
      <name val="Calibri"/>
      <family val="2"/>
      <charset val="1"/>
    </font>
    <font>
      <sz val="14"/>
      <color rgb="FF000000"/>
      <name val="Calibri"/>
      <family val="2"/>
      <charset val="1"/>
    </font>
    <font>
      <b val="true"/>
      <sz val="12"/>
      <color rgb="FF000000"/>
      <name val="Calibri"/>
      <family val="2"/>
      <charset val="1"/>
    </font>
    <font>
      <b val="true"/>
      <sz val="14"/>
      <color theme="0"/>
      <name val="Calibri"/>
      <family val="2"/>
      <charset val="1"/>
    </font>
    <font>
      <b val="true"/>
      <sz val="11"/>
      <name val="Calibri"/>
      <family val="2"/>
      <charset val="1"/>
    </font>
    <font>
      <sz val="8"/>
      <color rgb="FF000000"/>
      <name val="Calibri"/>
      <family val="2"/>
      <charset val="1"/>
    </font>
    <font>
      <b val="true"/>
      <sz val="12"/>
      <name val="Calibri"/>
      <family val="2"/>
      <charset val="1"/>
    </font>
    <font>
      <sz val="11"/>
      <color theme="4" tint="-0.25"/>
      <name val="Calibri"/>
      <family val="2"/>
      <charset val="1"/>
    </font>
    <font>
      <b val="true"/>
      <sz val="12"/>
      <color theme="1"/>
      <name val="Calibri"/>
      <family val="2"/>
      <charset val="1"/>
    </font>
    <font>
      <b val="true"/>
      <sz val="11"/>
      <color rgb="FF333333"/>
      <name val="Calibri"/>
      <family val="2"/>
      <charset val="1"/>
    </font>
    <font>
      <sz val="11"/>
      <color rgb="FF333333"/>
      <name val="Calibri"/>
      <family val="2"/>
      <charset val="1"/>
    </font>
  </fonts>
  <fills count="22">
    <fill>
      <patternFill patternType="none"/>
    </fill>
    <fill>
      <patternFill patternType="gray125"/>
    </fill>
    <fill>
      <patternFill patternType="solid">
        <fgColor theme="2" tint="-0.15"/>
        <bgColor rgb="FFD7E4BD"/>
      </patternFill>
    </fill>
    <fill>
      <patternFill patternType="solid">
        <fgColor theme="0"/>
        <bgColor rgb="FFDCE6F2"/>
      </patternFill>
    </fill>
    <fill>
      <patternFill patternType="solid">
        <fgColor theme="8" tint="0.3999"/>
        <bgColor rgb="FFB7DEE8"/>
      </patternFill>
    </fill>
    <fill>
      <patternFill patternType="solid">
        <fgColor theme="8" tint="0.5999"/>
        <bgColor rgb="FFD9D9D9"/>
      </patternFill>
    </fill>
    <fill>
      <patternFill patternType="solid">
        <fgColor theme="9" tint="0.3999"/>
        <bgColor rgb="FFFCD5B5"/>
      </patternFill>
    </fill>
    <fill>
      <patternFill patternType="solid">
        <fgColor theme="9" tint="0.5999"/>
        <bgColor rgb="FFFAC090"/>
      </patternFill>
    </fill>
    <fill>
      <patternFill patternType="solid">
        <fgColor rgb="FFEE2B76"/>
        <bgColor rgb="FF993366"/>
      </patternFill>
    </fill>
    <fill>
      <patternFill patternType="solid">
        <fgColor rgb="FFFFFF00"/>
        <bgColor rgb="FFFFFF00"/>
      </patternFill>
    </fill>
    <fill>
      <patternFill patternType="solid">
        <fgColor theme="8" tint="-0.25"/>
        <bgColor rgb="FF008080"/>
      </patternFill>
    </fill>
    <fill>
      <patternFill patternType="solid">
        <fgColor theme="6" tint="0.5999"/>
        <bgColor rgb="FFD9D9D9"/>
      </patternFill>
    </fill>
    <fill>
      <patternFill patternType="solid">
        <fgColor theme="4" tint="0.7999"/>
        <bgColor rgb="FFD9D9D9"/>
      </patternFill>
    </fill>
    <fill>
      <patternFill patternType="solid">
        <fgColor rgb="FF92D050"/>
        <bgColor rgb="FFC3D69B"/>
      </patternFill>
    </fill>
    <fill>
      <patternFill patternType="solid">
        <fgColor theme="6" tint="-0.25"/>
        <bgColor rgb="FF808080"/>
      </patternFill>
    </fill>
    <fill>
      <patternFill patternType="solid">
        <fgColor rgb="FF808080"/>
        <bgColor rgb="FF77933C"/>
      </patternFill>
    </fill>
    <fill>
      <patternFill patternType="solid">
        <fgColor theme="6" tint="0.3999"/>
        <bgColor rgb="FFD7E4BD"/>
      </patternFill>
    </fill>
    <fill>
      <patternFill patternType="solid">
        <fgColor rgb="FF00CCFF"/>
        <bgColor rgb="FF00B0F0"/>
      </patternFill>
    </fill>
    <fill>
      <patternFill patternType="solid">
        <fgColor rgb="FFCCFFFF"/>
        <bgColor rgb="FFDCE6F2"/>
      </patternFill>
    </fill>
    <fill>
      <patternFill patternType="solid">
        <fgColor rgb="FFFF0000"/>
        <bgColor rgb="FFEE2B76"/>
      </patternFill>
    </fill>
    <fill>
      <patternFill patternType="solid">
        <fgColor theme="9" tint="-0.25"/>
        <bgColor rgb="FFFF9900"/>
      </patternFill>
    </fill>
    <fill>
      <patternFill patternType="solid">
        <fgColor theme="0" tint="-0.35"/>
        <bgColor rgb="FFBFBFBF"/>
      </patternFill>
    </fill>
  </fills>
  <borders count="29">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right/>
      <top style="medium"/>
      <bottom style="medium"/>
      <diagonal/>
    </border>
    <border diagonalUp="false" diagonalDown="false">
      <left style="medium"/>
      <right/>
      <top style="medium"/>
      <bottom style="medium"/>
      <diagonal/>
    </border>
    <border diagonalUp="false" diagonalDown="false">
      <left style="medium"/>
      <right/>
      <top/>
      <bottom/>
      <diagonal/>
    </border>
    <border diagonalUp="false" diagonalDown="false">
      <left style="medium"/>
      <right style="medium"/>
      <top/>
      <bottom/>
      <diagonal/>
    </border>
    <border diagonalUp="false" diagonalDown="false">
      <left style="medium"/>
      <right/>
      <top style="medium"/>
      <bottom style="thin"/>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right/>
      <top/>
      <bottom style="medium"/>
      <diagonal/>
    </border>
    <border diagonalUp="false" diagonalDown="false">
      <left style="medium"/>
      <right style="medium"/>
      <top/>
      <bottom style="medium"/>
      <diagonal/>
    </border>
    <border diagonalUp="false" diagonalDown="false">
      <left style="double">
        <color theme="0" tint="-0.25"/>
      </left>
      <right style="double">
        <color theme="0" tint="-0.25"/>
      </right>
      <top style="double">
        <color theme="0" tint="-0.25"/>
      </top>
      <bottom style="double">
        <color theme="0" tint="-0.25"/>
      </bottom>
      <diagonal/>
    </border>
    <border diagonalUp="false" diagonalDown="false">
      <left style="double">
        <color theme="0" tint="-0.25"/>
      </left>
      <right style="double">
        <color theme="0" tint="-0.25"/>
      </right>
      <top style="double">
        <color theme="0" tint="-0.25"/>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style="thin"/>
      <diagonal/>
    </border>
    <border diagonalUp="false" diagonalDown="false">
      <left style="medium"/>
      <right style="medium"/>
      <top style="medium"/>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style="thin"/>
      <right style="thin"/>
      <top style="thin"/>
      <bottom/>
      <diagonal/>
    </border>
    <border diagonalUp="false" diagonalDown="false">
      <left style="thin"/>
      <right/>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4" fontId="6" fillId="0" borderId="0" applyFont="true" applyBorder="true" applyAlignment="true" applyProtection="true">
      <alignment horizontal="general" vertical="center" textRotation="0" wrapText="false" indent="0" shrinkToFit="false"/>
      <protection locked="true" hidden="false"/>
    </xf>
  </cellStyleXfs>
  <cellXfs count="3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7" fontId="10" fillId="3" borderId="1" xfId="0" applyFont="true" applyBorder="true" applyAlignment="true" applyProtection="true">
      <alignment horizontal="center" vertical="bottom" textRotation="0" wrapText="false" indent="0" shrinkToFit="false"/>
      <protection locked="true" hidden="false"/>
    </xf>
    <xf numFmtId="164" fontId="10" fillId="3" borderId="1" xfId="0" applyFont="true" applyBorder="tru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center" vertical="center" textRotation="0" wrapText="false" indent="0" shrinkToFit="false"/>
      <protection locked="true" hidden="false"/>
    </xf>
    <xf numFmtId="164" fontId="11" fillId="3" borderId="1" xfId="20" applyFont="true" applyBorder="true" applyAlignment="true" applyProtection="true">
      <alignment horizontal="center" vertical="center" textRotation="0" wrapText="false" indent="0" shrinkToFit="false"/>
      <protection locked="true" hidden="false"/>
    </xf>
    <xf numFmtId="164" fontId="10" fillId="3" borderId="1"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4" fontId="10" fillId="3"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9" fillId="4" borderId="2" xfId="0" applyFont="true" applyBorder="true" applyAlignment="true" applyProtection="true">
      <alignment horizontal="left" vertical="center" textRotation="0" wrapText="true" indent="0" shrinkToFit="false"/>
      <protection locked="true" hidden="false"/>
    </xf>
    <xf numFmtId="164" fontId="10" fillId="5" borderId="2" xfId="0" applyFont="true" applyBorder="tru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9" fillId="6" borderId="2" xfId="0" applyFont="true" applyBorder="true" applyAlignment="true" applyProtection="true">
      <alignment horizontal="center" vertical="center" textRotation="0" wrapText="false" indent="0" shrinkToFit="false"/>
      <protection locked="true" hidden="false"/>
    </xf>
    <xf numFmtId="164" fontId="9" fillId="6" borderId="3" xfId="0" applyFont="true" applyBorder="true" applyAlignment="true" applyProtection="true">
      <alignment horizontal="center" vertical="center" textRotation="0" wrapText="true" indent="0" shrinkToFit="false"/>
      <protection locked="true" hidden="false"/>
    </xf>
    <xf numFmtId="164" fontId="9" fillId="6" borderId="2" xfId="0" applyFont="true" applyBorder="true" applyAlignment="true" applyProtection="true">
      <alignment horizontal="center" vertical="center" textRotation="0" wrapText="true" indent="0" shrinkToFit="false"/>
      <protection locked="true" hidden="false"/>
    </xf>
    <xf numFmtId="164" fontId="9" fillId="7" borderId="2" xfId="0" applyFont="true" applyBorder="true" applyAlignment="true" applyProtection="true">
      <alignment horizontal="center" vertical="center" textRotation="0" wrapText="false" indent="0" shrinkToFit="false"/>
      <protection locked="true" hidden="false"/>
    </xf>
    <xf numFmtId="164" fontId="10" fillId="7" borderId="4" xfId="0" applyFont="true" applyBorder="true" applyAlignment="true" applyProtection="true">
      <alignment horizontal="center" vertical="center" textRotation="0" wrapText="true" indent="0" shrinkToFit="false"/>
      <protection locked="true" hidden="false"/>
    </xf>
    <xf numFmtId="164" fontId="10" fillId="7" borderId="2" xfId="0" applyFont="true" applyBorder="true" applyAlignment="true" applyProtection="true">
      <alignment horizontal="general" vertical="bottom" textRotation="0" wrapText="true" indent="0" shrinkToFit="false"/>
      <protection locked="true" hidden="false"/>
    </xf>
    <xf numFmtId="164" fontId="10" fillId="7" borderId="5" xfId="0" applyFont="true" applyBorder="true" applyAlignment="true" applyProtection="true">
      <alignment horizontal="center" vertical="center" textRotation="0" wrapText="true" indent="0" shrinkToFit="false"/>
      <protection locked="true" hidden="false"/>
    </xf>
    <xf numFmtId="164" fontId="10" fillId="7" borderId="6" xfId="0" applyFont="true" applyBorder="true" applyAlignment="true" applyProtection="true">
      <alignment horizontal="general" vertical="bottom" textRotation="0" wrapText="true" indent="0" shrinkToFit="false"/>
      <protection locked="true" hidden="false"/>
    </xf>
    <xf numFmtId="164" fontId="10" fillId="7" borderId="7" xfId="0" applyFont="true" applyBorder="true" applyAlignment="true" applyProtection="true">
      <alignment horizontal="center" vertical="center" textRotation="0" wrapText="true" indent="0" shrinkToFit="false"/>
      <protection locked="true" hidden="false"/>
    </xf>
    <xf numFmtId="164" fontId="10" fillId="7" borderId="8" xfId="0" applyFont="true" applyBorder="tru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true" indent="0" shrinkToFit="false"/>
      <protection locked="true" hidden="false"/>
    </xf>
    <xf numFmtId="164" fontId="9" fillId="7" borderId="6" xfId="0" applyFont="true" applyBorder="true" applyAlignment="true" applyProtection="true">
      <alignment horizontal="center" vertical="center" textRotation="0" wrapText="false" indent="0" shrinkToFit="false"/>
      <protection locked="true" hidden="false"/>
    </xf>
    <xf numFmtId="164" fontId="10" fillId="7" borderId="9" xfId="0" applyFont="true" applyBorder="true" applyAlignment="true" applyProtection="true">
      <alignment horizontal="general" vertical="bottom" textRotation="0" wrapText="true" indent="0" shrinkToFit="false"/>
      <protection locked="true" hidden="false"/>
    </xf>
    <xf numFmtId="164" fontId="10" fillId="7" borderId="10" xfId="0" applyFont="true" applyBorder="true" applyAlignment="true" applyProtection="true">
      <alignment horizontal="general" vertical="bottom" textRotation="0" wrapText="true" indent="0" shrinkToFit="false"/>
      <protection locked="true" hidden="false"/>
    </xf>
    <xf numFmtId="164" fontId="10" fillId="7" borderId="0" xfId="0" applyFont="true" applyBorder="false" applyAlignment="true" applyProtection="true">
      <alignment horizontal="general" vertical="bottom" textRotation="0" wrapText="true" indent="0" shrinkToFit="false"/>
      <protection locked="true" hidden="false"/>
    </xf>
    <xf numFmtId="164" fontId="10" fillId="7" borderId="11" xfId="0" applyFont="true" applyBorder="true" applyAlignment="true" applyProtection="true">
      <alignment horizontal="general" vertical="center" textRotation="0" wrapText="true" indent="0" shrinkToFit="false"/>
      <protection locked="true" hidden="false"/>
    </xf>
    <xf numFmtId="164" fontId="10" fillId="7" borderId="12" xfId="0" applyFont="true" applyBorder="true" applyAlignment="true" applyProtection="true">
      <alignment horizontal="general" vertical="bottom" textRotation="0" wrapText="true" indent="0" shrinkToFit="false"/>
      <protection locked="true" hidden="false"/>
    </xf>
    <xf numFmtId="164" fontId="10" fillId="7" borderId="12" xfId="0" applyFont="true" applyBorder="true" applyAlignment="true" applyProtection="true">
      <alignment horizontal="general" vertical="center" textRotation="0" wrapText="true" indent="0" shrinkToFit="false"/>
      <protection locked="true" hidden="false"/>
    </xf>
    <xf numFmtId="164" fontId="9" fillId="7" borderId="2" xfId="0" applyFont="true" applyBorder="true" applyAlignment="true" applyProtection="true">
      <alignment horizontal="center" vertical="center" textRotation="0" wrapText="true" indent="0" shrinkToFit="false"/>
      <protection locked="true" hidden="false"/>
    </xf>
    <xf numFmtId="164" fontId="10" fillId="7" borderId="2" xfId="0" applyFont="true" applyBorder="true" applyAlignment="true" applyProtection="true">
      <alignment horizontal="center" vertical="center" textRotation="0" wrapText="true" indent="0" shrinkToFit="false"/>
      <protection locked="true" hidden="false"/>
    </xf>
    <xf numFmtId="164" fontId="7" fillId="3" borderId="0" xfId="27" applyFont="true" applyBorder="false" applyAlignment="true" applyProtection="true">
      <alignment horizontal="general" vertical="bottom" textRotation="0" wrapText="false" indent="0" shrinkToFit="false"/>
      <protection locked="true" hidden="false"/>
    </xf>
    <xf numFmtId="164" fontId="7" fillId="3" borderId="0" xfId="27" applyFont="true" applyBorder="false" applyAlignment="true" applyProtection="true">
      <alignment horizontal="general" vertical="bottom" textRotation="0" wrapText="true" indent="0" shrinkToFit="false"/>
      <protection locked="true" hidden="false"/>
    </xf>
    <xf numFmtId="164" fontId="13" fillId="3" borderId="0" xfId="32" applyFont="true" applyBorder="true" applyAlignment="true" applyProtection="true">
      <alignment horizontal="center" vertical="center" textRotation="0" wrapText="false" indent="0" shrinkToFit="false"/>
      <protection locked="false" hidden="false"/>
    </xf>
    <xf numFmtId="164" fontId="14" fillId="3" borderId="0" xfId="32" applyFont="true" applyBorder="false" applyAlignment="true" applyProtection="true">
      <alignment horizontal="general" vertical="bottom" textRotation="0" wrapText="true" indent="0" shrinkToFit="false"/>
      <protection locked="true" hidden="false"/>
    </xf>
    <xf numFmtId="164" fontId="15" fillId="3" borderId="0" xfId="32" applyFont="true" applyBorder="false" applyAlignment="true" applyProtection="true">
      <alignment horizontal="general" vertical="bottom" textRotation="0" wrapText="false" indent="0" shrinkToFit="false"/>
      <protection locked="true" hidden="false"/>
    </xf>
    <xf numFmtId="164" fontId="6" fillId="3" borderId="0" xfId="32" applyFont="true" applyBorder="false" applyAlignment="true" applyProtection="true">
      <alignment horizontal="general" vertical="bottom" textRotation="0" wrapText="false" indent="0" shrinkToFit="false"/>
      <protection locked="true" hidden="false"/>
    </xf>
    <xf numFmtId="164" fontId="6" fillId="0" borderId="0" xfId="32" applyFont="true" applyBorder="false" applyAlignment="true" applyProtection="true">
      <alignment horizontal="general" vertical="bottom" textRotation="0" wrapText="false" indent="0" shrinkToFit="false"/>
      <protection locked="true" hidden="false"/>
    </xf>
    <xf numFmtId="164" fontId="16" fillId="8" borderId="13" xfId="25" applyFont="true" applyBorder="true" applyAlignment="true" applyProtection="true">
      <alignment horizontal="center" vertical="center" textRotation="0" wrapText="true" indent="0" shrinkToFit="false"/>
      <protection locked="true" hidden="false"/>
    </xf>
    <xf numFmtId="164" fontId="17" fillId="0" borderId="13" xfId="27" applyFont="true" applyBorder="true" applyAlignment="true" applyProtection="true">
      <alignment horizontal="center" vertical="center" textRotation="0" wrapText="true" indent="0" shrinkToFit="false"/>
      <protection locked="true" hidden="false"/>
    </xf>
    <xf numFmtId="164" fontId="18" fillId="0" borderId="13" xfId="27" applyFont="true" applyBorder="true" applyAlignment="true" applyProtection="true">
      <alignment horizontal="general" vertical="center" textRotation="0" wrapText="true" indent="0" shrinkToFit="false"/>
      <protection locked="false" hidden="false"/>
    </xf>
    <xf numFmtId="168" fontId="18" fillId="9" borderId="13" xfId="0" applyFont="true" applyBorder="true" applyAlignment="true" applyProtection="true">
      <alignment horizontal="center" vertical="center" textRotation="0" wrapText="true" indent="0" shrinkToFit="false"/>
      <protection locked="false" hidden="false"/>
    </xf>
    <xf numFmtId="169" fontId="18" fillId="3" borderId="13" xfId="22" applyFont="true" applyBorder="true" applyAlignment="true" applyProtection="true">
      <alignment horizontal="center" vertical="center" textRotation="0" wrapText="true" indent="0" shrinkToFit="false"/>
      <protection locked="false" hidden="false"/>
    </xf>
    <xf numFmtId="166" fontId="18" fillId="0" borderId="13" xfId="22" applyFont="true" applyBorder="true" applyAlignment="true" applyProtection="true">
      <alignment horizontal="center" vertical="center" textRotation="0" wrapText="false" indent="0" shrinkToFit="false"/>
      <protection locked="false" hidden="false"/>
    </xf>
    <xf numFmtId="168" fontId="19" fillId="3" borderId="13" xfId="27" applyFont="true" applyBorder="true" applyAlignment="true" applyProtection="true">
      <alignment horizontal="center" vertical="center" textRotation="0" wrapText="true" indent="0" shrinkToFit="false"/>
      <protection locked="true" hidden="false"/>
    </xf>
    <xf numFmtId="168" fontId="19" fillId="3" borderId="13" xfId="27" applyFont="true" applyBorder="true" applyAlignment="true" applyProtection="true">
      <alignment horizontal="left" vertical="center" textRotation="0" wrapText="true" indent="0" shrinkToFit="false"/>
      <protection locked="true" hidden="false"/>
    </xf>
    <xf numFmtId="168" fontId="18" fillId="3" borderId="13" xfId="0" applyFont="true" applyBorder="true" applyAlignment="true" applyProtection="true">
      <alignment horizontal="center" vertical="center" textRotation="0" wrapText="true" indent="0" shrinkToFit="false"/>
      <protection locked="false" hidden="false"/>
    </xf>
    <xf numFmtId="164" fontId="18" fillId="3" borderId="13" xfId="27" applyFont="true" applyBorder="true" applyAlignment="true" applyProtection="true">
      <alignment horizontal="general" vertical="center" textRotation="0" wrapText="false" indent="0" shrinkToFit="false"/>
      <protection locked="false" hidden="false"/>
    </xf>
    <xf numFmtId="164" fontId="18" fillId="9" borderId="1" xfId="0" applyFont="true" applyBorder="true" applyAlignment="true" applyProtection="true">
      <alignment horizontal="center" vertical="center" textRotation="0" wrapText="false" indent="0" shrinkToFit="false"/>
      <protection locked="false" hidden="false"/>
    </xf>
    <xf numFmtId="169" fontId="18" fillId="3" borderId="13" xfId="22" applyFont="true" applyBorder="true" applyAlignment="true" applyProtection="true">
      <alignment horizontal="center" vertical="center" textRotation="0" wrapText="false" indent="0" shrinkToFit="false"/>
      <protection locked="false" hidden="false"/>
    </xf>
    <xf numFmtId="164" fontId="18" fillId="3" borderId="13" xfId="27" applyFont="true" applyBorder="true" applyAlignment="true" applyProtection="true">
      <alignment horizontal="general" vertical="bottom" textRotation="0" wrapText="false" indent="0" shrinkToFit="false"/>
      <protection locked="false" hidden="false"/>
    </xf>
    <xf numFmtId="168" fontId="18" fillId="9" borderId="13" xfId="19" applyFont="true" applyBorder="true" applyAlignment="true" applyProtection="true">
      <alignment horizontal="center" vertical="center" textRotation="0" wrapText="true" indent="0" shrinkToFit="false"/>
      <protection locked="false" hidden="false"/>
    </xf>
    <xf numFmtId="168" fontId="18" fillId="3" borderId="13" xfId="19" applyFont="true" applyBorder="true" applyAlignment="true" applyProtection="true">
      <alignment horizontal="center" vertical="center" textRotation="0" wrapText="true" indent="0" shrinkToFit="false"/>
      <protection locked="false" hidden="false"/>
    </xf>
    <xf numFmtId="169" fontId="18" fillId="9" borderId="13" xfId="22" applyFont="true" applyBorder="true" applyAlignment="true" applyProtection="true">
      <alignment horizontal="center" vertical="center" textRotation="0" wrapText="false" indent="0" shrinkToFit="false"/>
      <protection locked="false" hidden="false"/>
    </xf>
    <xf numFmtId="169" fontId="18" fillId="0" borderId="13" xfId="22" applyFont="true" applyBorder="true" applyAlignment="true" applyProtection="true">
      <alignment horizontal="center" vertical="center" textRotation="0" wrapText="false" indent="0" shrinkToFit="false"/>
      <protection locked="false" hidden="false"/>
    </xf>
    <xf numFmtId="170" fontId="18" fillId="9" borderId="13" xfId="27" applyFont="true" applyBorder="true" applyAlignment="true" applyProtection="true">
      <alignment horizontal="center" vertical="center" textRotation="0" wrapText="false" indent="0" shrinkToFit="false"/>
      <protection locked="false" hidden="false"/>
    </xf>
    <xf numFmtId="170" fontId="18" fillId="0" borderId="13" xfId="27" applyFont="true" applyBorder="true" applyAlignment="true" applyProtection="true">
      <alignment horizontal="center" vertical="center" textRotation="0" wrapText="false" indent="0" shrinkToFit="false"/>
      <protection locked="false" hidden="false"/>
    </xf>
    <xf numFmtId="168" fontId="19" fillId="3" borderId="13" xfId="30" applyFont="true" applyBorder="true" applyAlignment="true" applyProtection="true">
      <alignment horizontal="center" vertical="center" textRotation="0" wrapText="true" indent="0" shrinkToFit="false"/>
      <protection locked="true" hidden="false"/>
    </xf>
    <xf numFmtId="170" fontId="19" fillId="0" borderId="13" xfId="27" applyFont="true" applyBorder="true" applyAlignment="true" applyProtection="true">
      <alignment horizontal="left" vertical="center" textRotation="0" wrapText="false" indent="0" shrinkToFit="false"/>
      <protection locked="true" hidden="false"/>
    </xf>
    <xf numFmtId="170" fontId="19" fillId="0" borderId="13" xfId="27" applyFont="true" applyBorder="true" applyAlignment="true" applyProtection="true">
      <alignment horizontal="center" vertical="center" textRotation="0" wrapText="false" indent="0" shrinkToFit="false"/>
      <protection locked="true" hidden="false"/>
    </xf>
    <xf numFmtId="170" fontId="18" fillId="0" borderId="13" xfId="27" applyFont="true" applyBorder="true" applyAlignment="true" applyProtection="true">
      <alignment horizontal="center" vertical="center" textRotation="0" wrapText="false" indent="0" shrinkToFit="false"/>
      <protection locked="true" hidden="false"/>
    </xf>
    <xf numFmtId="168" fontId="18" fillId="3" borderId="13" xfId="27" applyFont="true" applyBorder="true" applyAlignment="true" applyProtection="true">
      <alignment horizontal="left" vertical="center" textRotation="0" wrapText="true" indent="0" shrinkToFit="false"/>
      <protection locked="true" hidden="false"/>
    </xf>
    <xf numFmtId="164" fontId="17" fillId="0" borderId="14" xfId="27" applyFont="true" applyBorder="true" applyAlignment="true" applyProtection="true">
      <alignment horizontal="left" vertical="center" textRotation="0" wrapText="true" indent="0" shrinkToFit="false"/>
      <protection locked="true" hidden="false"/>
    </xf>
    <xf numFmtId="164" fontId="18" fillId="9" borderId="13" xfId="27" applyFont="true" applyBorder="true" applyAlignment="true" applyProtection="true">
      <alignment horizontal="left" vertical="center" textRotation="0" wrapText="true" indent="0" shrinkToFit="false"/>
      <protection locked="false" hidden="false"/>
    </xf>
    <xf numFmtId="164" fontId="18" fillId="0" borderId="13" xfId="27" applyFont="true" applyBorder="true" applyAlignment="true" applyProtection="true">
      <alignment horizontal="left" vertical="center" textRotation="0" wrapText="true" indent="0" shrinkToFit="false"/>
      <protection locked="false" hidden="false"/>
    </xf>
    <xf numFmtId="164" fontId="17" fillId="0" borderId="13" xfId="27" applyFont="true" applyBorder="true" applyAlignment="true" applyProtection="true">
      <alignment horizontal="left" vertical="center" textRotation="0" wrapText="true" indent="0" shrinkToFit="false"/>
      <protection locked="true" hidden="false"/>
    </xf>
    <xf numFmtId="164" fontId="7" fillId="3" borderId="0" xfId="27" applyFont="true" applyBorder="false" applyAlignment="true" applyProtection="true">
      <alignment horizontal="center" vertical="center" textRotation="0" wrapText="false" indent="0" shrinkToFit="false"/>
      <protection locked="true" hidden="false"/>
    </xf>
    <xf numFmtId="164" fontId="7" fillId="3" borderId="0" xfId="27" applyFont="true" applyBorder="false" applyAlignment="true" applyProtection="true">
      <alignment horizontal="general" vertical="center" textRotation="0" wrapText="false" indent="0" shrinkToFit="false"/>
      <protection locked="true" hidden="false"/>
    </xf>
    <xf numFmtId="164" fontId="7" fillId="3" borderId="0" xfId="27" applyFont="true" applyBorder="false" applyAlignment="true" applyProtection="true">
      <alignment horizontal="left" vertical="bottom" textRotation="0" wrapText="false" indent="0" shrinkToFit="false"/>
      <protection locked="true" hidden="false"/>
    </xf>
    <xf numFmtId="164" fontId="7" fillId="3" borderId="0" xfId="27" applyFont="true" applyBorder="false" applyAlignment="true" applyProtection="true">
      <alignment horizontal="center" vertical="bottom" textRotation="0" wrapText="false" indent="0" shrinkToFit="false"/>
      <protection locked="true" hidden="false"/>
    </xf>
    <xf numFmtId="164" fontId="7" fillId="3" borderId="0" xfId="27" applyFont="true" applyBorder="false" applyAlignment="true" applyProtection="true">
      <alignment horizontal="center" vertical="bottom" textRotation="0" wrapText="true" indent="0" shrinkToFit="false"/>
      <protection locked="true" hidden="false"/>
    </xf>
    <xf numFmtId="164" fontId="17" fillId="0" borderId="13" xfId="27" applyFont="true" applyBorder="true" applyAlignment="true" applyProtection="true">
      <alignment horizontal="center" vertical="center" textRotation="0" wrapText="false" indent="0" shrinkToFit="false"/>
      <protection locked="true" hidden="false"/>
    </xf>
    <xf numFmtId="164" fontId="17" fillId="3" borderId="13" xfId="27" applyFont="true" applyBorder="true" applyAlignment="true" applyProtection="true">
      <alignment horizontal="left" vertical="center" textRotation="0" wrapText="true" indent="0" shrinkToFit="false"/>
      <protection locked="true" hidden="false"/>
    </xf>
    <xf numFmtId="166" fontId="18" fillId="9" borderId="13" xfId="27" applyFont="true" applyBorder="true" applyAlignment="true" applyProtection="true">
      <alignment horizontal="center" vertical="center" textRotation="0" wrapText="true" indent="0" shrinkToFit="false"/>
      <protection locked="false" hidden="false"/>
    </xf>
    <xf numFmtId="164" fontId="20" fillId="3" borderId="13" xfId="27" applyFont="true" applyBorder="true" applyAlignment="true" applyProtection="true">
      <alignment horizontal="left" vertical="center" textRotation="0" wrapText="true" indent="0" shrinkToFit="false"/>
      <protection locked="false" hidden="false"/>
    </xf>
    <xf numFmtId="164" fontId="18" fillId="3" borderId="13" xfId="27" applyFont="true" applyBorder="true" applyAlignment="true" applyProtection="true">
      <alignment horizontal="left" vertical="center" textRotation="0" wrapText="true" indent="0" shrinkToFit="false"/>
      <protection locked="false" hidden="false"/>
    </xf>
    <xf numFmtId="164" fontId="19" fillId="0" borderId="13" xfId="27" applyFont="true" applyBorder="true" applyAlignment="true" applyProtection="true">
      <alignment horizontal="general" vertical="center" textRotation="0" wrapText="true" indent="0" shrinkToFit="false"/>
      <protection locked="true" hidden="false"/>
    </xf>
    <xf numFmtId="168" fontId="19" fillId="3" borderId="13" xfId="0" applyFont="true" applyBorder="true" applyAlignment="true" applyProtection="true">
      <alignment horizontal="center" vertical="center" textRotation="0" wrapText="true" indent="0" shrinkToFit="false"/>
      <protection locked="true" hidden="false"/>
    </xf>
    <xf numFmtId="171" fontId="19" fillId="3" borderId="13" xfId="0" applyFont="true" applyBorder="true" applyAlignment="true" applyProtection="true">
      <alignment horizontal="center" vertical="center" textRotation="0" wrapText="true" indent="0" shrinkToFit="false"/>
      <protection locked="true" hidden="false"/>
    </xf>
    <xf numFmtId="164" fontId="19" fillId="3" borderId="13" xfId="27" applyFont="true" applyBorder="true" applyAlignment="true" applyProtection="true">
      <alignment horizontal="general" vertical="center" textRotation="0" wrapText="false" indent="0" shrinkToFit="false"/>
      <protection locked="true" hidden="false"/>
    </xf>
    <xf numFmtId="164" fontId="19" fillId="3" borderId="13" xfId="27" applyFont="true" applyBorder="true" applyAlignment="true" applyProtection="true">
      <alignment horizontal="general" vertical="bottom" textRotation="0" wrapText="false" indent="0" shrinkToFit="false"/>
      <protection locked="true" hidden="false"/>
    </xf>
    <xf numFmtId="166" fontId="19" fillId="0" borderId="13" xfId="22" applyFont="true" applyBorder="true" applyAlignment="true" applyProtection="true">
      <alignment horizontal="center" vertical="center" textRotation="0" wrapText="false" indent="0" shrinkToFit="false"/>
      <protection locked="true" hidden="false"/>
    </xf>
    <xf numFmtId="168" fontId="19" fillId="3" borderId="13" xfId="19" applyFont="true" applyBorder="true" applyAlignment="true" applyProtection="true">
      <alignment horizontal="center" vertical="center" textRotation="0" wrapText="true" indent="0" shrinkToFit="false"/>
      <protection locked="true" hidden="false"/>
    </xf>
    <xf numFmtId="164" fontId="19" fillId="0" borderId="13" xfId="27"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16" fillId="10" borderId="13" xfId="27" applyFont="true" applyBorder="true" applyAlignment="true" applyProtection="true">
      <alignment horizontal="general" vertical="center" textRotation="0" wrapText="true" indent="0" shrinkToFit="false"/>
      <protection locked="true" hidden="false"/>
    </xf>
    <xf numFmtId="164" fontId="16" fillId="10" borderId="13" xfId="25"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19" fillId="0" borderId="13" xfId="27" applyFont="true" applyBorder="true" applyAlignment="true" applyProtection="true">
      <alignment horizontal="center" vertical="center" textRotation="0" wrapText="true" indent="0" shrinkToFit="false"/>
      <protection locked="true" hidden="false"/>
    </xf>
    <xf numFmtId="170" fontId="19" fillId="11" borderId="13" xfId="27" applyFont="true" applyBorder="true" applyAlignment="true" applyProtection="true">
      <alignment horizontal="center" vertical="center" textRotation="0" wrapText="true" indent="0" shrinkToFit="false"/>
      <protection locked="true" hidden="false"/>
    </xf>
    <xf numFmtId="167" fontId="19" fillId="0" borderId="13" xfId="27" applyFont="true" applyBorder="true" applyAlignment="true" applyProtection="true">
      <alignment horizontal="general" vertical="center" textRotation="0" wrapText="true" indent="0" shrinkToFit="false"/>
      <protection locked="true" hidden="false"/>
    </xf>
    <xf numFmtId="170" fontId="19" fillId="0" borderId="13" xfId="27" applyFont="true" applyBorder="true" applyAlignment="true" applyProtection="true">
      <alignment horizontal="center" vertical="center" textRotation="0" wrapText="true" indent="0" shrinkToFit="false"/>
      <protection locked="true" hidden="false"/>
    </xf>
    <xf numFmtId="170" fontId="19" fillId="0" borderId="13" xfId="27" applyFont="true" applyBorder="true" applyAlignment="true" applyProtection="true">
      <alignment horizontal="left" vertical="center" textRotation="0" wrapText="true" indent="0" shrinkToFit="false"/>
      <protection locked="true" hidden="false"/>
    </xf>
    <xf numFmtId="170" fontId="19" fillId="12" borderId="13" xfId="27" applyFont="true" applyBorder="true" applyAlignment="true" applyProtection="true">
      <alignment horizontal="center" vertical="center" textRotation="0" wrapText="true" indent="0" shrinkToFit="false"/>
      <protection locked="true" hidden="false"/>
    </xf>
    <xf numFmtId="167" fontId="19" fillId="12" borderId="13" xfId="27" applyFont="true" applyBorder="true" applyAlignment="true" applyProtection="true">
      <alignment horizontal="general" vertical="center" textRotation="0" wrapText="true" indent="0" shrinkToFit="false"/>
      <protection locked="true" hidden="false"/>
    </xf>
    <xf numFmtId="164" fontId="21" fillId="6" borderId="15" xfId="0" applyFont="true" applyBorder="true" applyAlignment="true" applyProtection="true">
      <alignment horizontal="left" vertical="center" textRotation="0" wrapText="false" indent="0" shrinkToFit="false"/>
      <protection locked="true" hidden="false"/>
    </xf>
    <xf numFmtId="164" fontId="21" fillId="6" borderId="16" xfId="0" applyFont="true" applyBorder="true" applyAlignment="true" applyProtection="true">
      <alignment horizontal="center" vertical="center" textRotation="0" wrapText="false" indent="0" shrinkToFit="false"/>
      <protection locked="true" hidden="false"/>
    </xf>
    <xf numFmtId="164" fontId="21" fillId="6" borderId="16" xfId="0" applyFont="true" applyBorder="true" applyAlignment="true" applyProtection="true">
      <alignment horizontal="general" vertical="bottom" textRotation="0" wrapText="false" indent="0" shrinkToFit="false"/>
      <protection locked="true" hidden="false"/>
    </xf>
    <xf numFmtId="164" fontId="21" fillId="6" borderId="17" xfId="0" applyFont="true" applyBorder="tru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left" vertical="center" textRotation="0" wrapText="false" indent="0" shrinkToFit="false"/>
      <protection locked="true" hidden="false"/>
    </xf>
    <xf numFmtId="164" fontId="17" fillId="0"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70" fontId="10" fillId="13" borderId="1" xfId="0" applyFont="true" applyBorder="true" applyAlignment="true" applyProtection="true">
      <alignment horizontal="center" vertical="bottom" textRotation="0" wrapText="false" indent="0" shrinkToFit="false"/>
      <protection locked="true" hidden="false"/>
    </xf>
    <xf numFmtId="164" fontId="15" fillId="3" borderId="0" xfId="32" applyFont="true" applyBorder="false" applyAlignment="true" applyProtection="true">
      <alignment horizontal="general" vertical="bottom" textRotation="0" wrapText="true" indent="0" shrinkToFit="false"/>
      <protection locked="true" hidden="false"/>
    </xf>
    <xf numFmtId="164" fontId="15" fillId="3" borderId="0" xfId="32" applyFont="true" applyBorder="false" applyAlignment="true" applyProtection="true">
      <alignment horizontal="right" vertical="bottom" textRotation="0" wrapText="false" indent="0" shrinkToFit="false"/>
      <protection locked="true" hidden="false"/>
    </xf>
    <xf numFmtId="164" fontId="22" fillId="14" borderId="1" xfId="32" applyFont="true" applyBorder="true" applyAlignment="true" applyProtection="true">
      <alignment horizontal="center" vertical="center" textRotation="0" wrapText="false" indent="0" shrinkToFit="false"/>
      <protection locked="true" hidden="false"/>
    </xf>
    <xf numFmtId="164" fontId="19" fillId="3" borderId="0" xfId="32" applyFont="true" applyBorder="false" applyAlignment="true" applyProtection="true">
      <alignment horizontal="general" vertical="bottom" textRotation="0" wrapText="false" indent="0" shrinkToFit="false"/>
      <protection locked="true" hidden="false"/>
    </xf>
    <xf numFmtId="172" fontId="22" fillId="15" borderId="0" xfId="32" applyFont="true" applyBorder="true" applyAlignment="true" applyProtection="true">
      <alignment horizontal="center" vertical="center" textRotation="0" wrapText="false" indent="0" shrinkToFit="false"/>
      <protection locked="true" hidden="false"/>
    </xf>
    <xf numFmtId="164" fontId="23" fillId="16" borderId="1" xfId="32" applyFont="true" applyBorder="true" applyAlignment="true" applyProtection="true">
      <alignment horizontal="center" vertical="center" textRotation="0" wrapText="false" indent="0" shrinkToFit="false"/>
      <protection locked="true" hidden="false"/>
    </xf>
    <xf numFmtId="164" fontId="23" fillId="16" borderId="1" xfId="32" applyFont="true" applyBorder="true" applyAlignment="true" applyProtection="true">
      <alignment horizontal="center" vertical="center" textRotation="0" wrapText="true" indent="0" shrinkToFit="false"/>
      <protection locked="true" hidden="false"/>
    </xf>
    <xf numFmtId="164" fontId="19" fillId="2" borderId="0" xfId="32" applyFont="true" applyBorder="false" applyAlignment="true" applyProtection="true">
      <alignment horizontal="right" vertical="bottom" textRotation="0" wrapText="false" indent="0" shrinkToFit="false"/>
      <protection locked="true" hidden="false"/>
    </xf>
    <xf numFmtId="164" fontId="24" fillId="2" borderId="0" xfId="32" applyFont="true" applyBorder="false" applyAlignment="true" applyProtection="true">
      <alignment horizontal="right" vertical="bottom" textRotation="0" wrapText="false" indent="0" shrinkToFit="false"/>
      <protection locked="true" hidden="false"/>
    </xf>
    <xf numFmtId="164" fontId="24" fillId="2" borderId="0" xfId="32" applyFont="true" applyBorder="false" applyAlignment="true" applyProtection="true">
      <alignment horizontal="general" vertical="bottom" textRotation="0" wrapText="false" indent="0" shrinkToFit="false"/>
      <protection locked="true" hidden="false"/>
    </xf>
    <xf numFmtId="164" fontId="19" fillId="6" borderId="0" xfId="32" applyFont="true" applyBorder="false" applyAlignment="true" applyProtection="true">
      <alignment horizontal="right" vertical="bottom" textRotation="0" wrapText="false" indent="0" shrinkToFit="false"/>
      <protection locked="true" hidden="false"/>
    </xf>
    <xf numFmtId="164" fontId="24" fillId="6" borderId="0" xfId="32" applyFont="true" applyBorder="false" applyAlignment="true" applyProtection="true">
      <alignment horizontal="right" vertical="bottom" textRotation="0" wrapText="false" indent="0" shrinkToFit="false"/>
      <protection locked="true" hidden="false"/>
    </xf>
    <xf numFmtId="164" fontId="24" fillId="6" borderId="0" xfId="32" applyFont="true" applyBorder="false" applyAlignment="true" applyProtection="true">
      <alignment horizontal="general" vertical="bottom" textRotation="0" wrapText="false" indent="0" shrinkToFit="false"/>
      <protection locked="true" hidden="false"/>
    </xf>
    <xf numFmtId="164" fontId="19" fillId="16" borderId="1" xfId="32" applyFont="true" applyBorder="true" applyAlignment="true" applyProtection="true">
      <alignment horizontal="general" vertical="bottom" textRotation="0" wrapText="false" indent="0" shrinkToFit="false"/>
      <protection locked="true" hidden="false"/>
    </xf>
    <xf numFmtId="164" fontId="18" fillId="16" borderId="1" xfId="32" applyFont="true" applyBorder="true" applyAlignment="true" applyProtection="true">
      <alignment horizontal="general" vertical="bottom" textRotation="0" wrapText="false" indent="0" shrinkToFit="false"/>
      <protection locked="false" hidden="false"/>
    </xf>
    <xf numFmtId="164" fontId="19" fillId="16" borderId="1" xfId="32" applyFont="true" applyBorder="true" applyAlignment="true" applyProtection="true">
      <alignment horizontal="general" vertical="bottom" textRotation="0" wrapText="true" indent="0" shrinkToFit="false"/>
      <protection locked="true" hidden="false"/>
    </xf>
    <xf numFmtId="164" fontId="18" fillId="16" borderId="1" xfId="32" applyFont="true" applyBorder="true" applyAlignment="true" applyProtection="true">
      <alignment horizontal="general" vertical="bottom" textRotation="0" wrapText="true" indent="0" shrinkToFit="false"/>
      <protection locked="false" hidden="false"/>
    </xf>
    <xf numFmtId="164" fontId="18" fillId="2" borderId="0" xfId="32" applyFont="true" applyBorder="false" applyAlignment="true" applyProtection="true">
      <alignment horizontal="right" vertical="bottom" textRotation="0" wrapText="false" indent="0" shrinkToFit="false"/>
      <protection locked="false" hidden="false"/>
    </xf>
    <xf numFmtId="172" fontId="19" fillId="2" borderId="0" xfId="32" applyFont="true" applyBorder="false" applyAlignment="true" applyProtection="true">
      <alignment horizontal="general" vertical="bottom" textRotation="0" wrapText="false" indent="0" shrinkToFit="false"/>
      <protection locked="true" hidden="false"/>
    </xf>
    <xf numFmtId="164" fontId="18" fillId="6" borderId="0" xfId="32" applyFont="true" applyBorder="false" applyAlignment="true" applyProtection="true">
      <alignment horizontal="right" vertical="bottom" textRotation="0" wrapText="false" indent="0" shrinkToFit="false"/>
      <protection locked="false" hidden="false"/>
    </xf>
    <xf numFmtId="172" fontId="19" fillId="6" borderId="0" xfId="32" applyFont="true" applyBorder="false" applyAlignment="true" applyProtection="true">
      <alignment horizontal="general" vertical="bottom" textRotation="0" wrapText="false" indent="0" shrinkToFit="false"/>
      <protection locked="true" hidden="false"/>
    </xf>
    <xf numFmtId="172" fontId="6" fillId="2" borderId="0" xfId="32" applyFont="true" applyBorder="false" applyAlignment="true" applyProtection="true">
      <alignment horizontal="general" vertical="bottom" textRotation="0" wrapText="false" indent="0" shrinkToFit="false"/>
      <protection locked="true" hidden="false"/>
    </xf>
    <xf numFmtId="164" fontId="19" fillId="2" borderId="0" xfId="32" applyFont="true" applyBorder="false" applyAlignment="true" applyProtection="true">
      <alignment horizontal="right" vertical="bottom" textRotation="0" wrapText="true" indent="0" shrinkToFit="false"/>
      <protection locked="true" hidden="false"/>
    </xf>
    <xf numFmtId="164" fontId="25" fillId="2" borderId="0" xfId="32" applyFont="true" applyBorder="false" applyAlignment="true" applyProtection="true">
      <alignment horizontal="general" vertical="bottom" textRotation="0" wrapText="false" indent="0" shrinkToFit="false"/>
      <protection locked="true" hidden="false"/>
    </xf>
    <xf numFmtId="172" fontId="23" fillId="2" borderId="0" xfId="32" applyFont="true" applyBorder="false" applyAlignment="true" applyProtection="true">
      <alignment horizontal="right" vertical="bottom" textRotation="0" wrapText="false" indent="0" shrinkToFit="false"/>
      <protection locked="true" hidden="false"/>
    </xf>
    <xf numFmtId="172" fontId="23" fillId="2" borderId="18" xfId="32" applyFont="true" applyBorder="true" applyAlignment="true" applyProtection="true">
      <alignment horizontal="general" vertical="bottom" textRotation="0" wrapText="false" indent="0" shrinkToFit="false"/>
      <protection locked="true" hidden="false"/>
    </xf>
    <xf numFmtId="164" fontId="19" fillId="6" borderId="0" xfId="32" applyFont="true" applyBorder="false" applyAlignment="true" applyProtection="true">
      <alignment horizontal="left" vertical="bottom" textRotation="0" wrapText="false" indent="0" shrinkToFit="false"/>
      <protection locked="true" hidden="false"/>
    </xf>
    <xf numFmtId="164" fontId="23" fillId="6" borderId="0" xfId="32" applyFont="true" applyBorder="false" applyAlignment="true" applyProtection="true">
      <alignment horizontal="right" vertical="bottom" textRotation="0" wrapText="false" indent="0" shrinkToFit="false"/>
      <protection locked="true" hidden="false"/>
    </xf>
    <xf numFmtId="164" fontId="23" fillId="2" borderId="0" xfId="32" applyFont="true" applyBorder="false" applyAlignment="true" applyProtection="true">
      <alignment horizontal="right" vertical="bottom" textRotation="0" wrapText="true" indent="0" shrinkToFit="false"/>
      <protection locked="true" hidden="false"/>
    </xf>
    <xf numFmtId="172" fontId="26" fillId="2" borderId="0" xfId="32" applyFont="true" applyBorder="false" applyAlignment="true" applyProtection="true">
      <alignment horizontal="general" vertical="bottom" textRotation="0" wrapText="false" indent="0" shrinkToFit="false"/>
      <protection locked="true" hidden="false"/>
    </xf>
    <xf numFmtId="172" fontId="23" fillId="6" borderId="18" xfId="32" applyFont="true" applyBorder="true" applyAlignment="true" applyProtection="true">
      <alignment horizontal="general" vertical="bottom" textRotation="0" wrapText="false" indent="0" shrinkToFit="false"/>
      <protection locked="true" hidden="false"/>
    </xf>
    <xf numFmtId="164" fontId="23" fillId="6" borderId="0" xfId="32" applyFont="true" applyBorder="false" applyAlignment="true" applyProtection="true">
      <alignment horizontal="right" vertical="bottom" textRotation="0" wrapText="true" indent="0" shrinkToFit="false"/>
      <protection locked="true" hidden="false"/>
    </xf>
    <xf numFmtId="164" fontId="19" fillId="16" borderId="1" xfId="32" applyFont="true" applyBorder="true" applyAlignment="true" applyProtection="true">
      <alignment horizontal="left" vertical="bottom" textRotation="0" wrapText="true" indent="0" shrinkToFit="false"/>
      <protection locked="true" hidden="false"/>
    </xf>
    <xf numFmtId="164" fontId="19" fillId="16" borderId="1" xfId="32" applyFont="true" applyBorder="true" applyAlignment="true" applyProtection="true">
      <alignment horizontal="right" vertical="bottom" textRotation="0" wrapText="true" indent="0" shrinkToFit="false"/>
      <protection locked="true" hidden="false"/>
    </xf>
    <xf numFmtId="164" fontId="27" fillId="14" borderId="19" xfId="32" applyFont="true" applyBorder="true" applyAlignment="true" applyProtection="true">
      <alignment horizontal="center" vertical="center" textRotation="0" wrapText="false" indent="0" shrinkToFit="false"/>
      <protection locked="true" hidden="false"/>
    </xf>
    <xf numFmtId="164" fontId="27" fillId="14" borderId="18" xfId="32" applyFont="true" applyBorder="true" applyAlignment="true" applyProtection="true">
      <alignment horizontal="center" vertical="center" textRotation="0" wrapText="false" indent="0" shrinkToFit="false"/>
      <protection locked="true" hidden="false"/>
    </xf>
    <xf numFmtId="164" fontId="27" fillId="14" borderId="20" xfId="32" applyFont="true" applyBorder="true" applyAlignment="true" applyProtection="true">
      <alignment horizontal="center" vertical="center" textRotation="0" wrapText="false" indent="0" shrinkToFit="false"/>
      <protection locked="true" hidden="false"/>
    </xf>
    <xf numFmtId="164" fontId="23" fillId="16" borderId="15" xfId="32" applyFont="true" applyBorder="true" applyAlignment="true" applyProtection="true">
      <alignment horizontal="center" vertical="center" textRotation="0" wrapText="false" indent="0" shrinkToFit="false"/>
      <protection locked="true" hidden="false"/>
    </xf>
    <xf numFmtId="164" fontId="23" fillId="16" borderId="17" xfId="32" applyFont="true" applyBorder="true" applyAlignment="true" applyProtection="true">
      <alignment horizontal="center" vertical="center" textRotation="0" wrapText="true" indent="0" shrinkToFit="false"/>
      <protection locked="true" hidden="false"/>
    </xf>
    <xf numFmtId="164" fontId="23" fillId="16" borderId="15" xfId="32" applyFont="true" applyBorder="true" applyAlignment="true" applyProtection="true">
      <alignment horizontal="left" vertical="center" textRotation="0" wrapText="true" indent="0" shrinkToFit="false"/>
      <protection locked="true" hidden="false"/>
    </xf>
    <xf numFmtId="164" fontId="19" fillId="16" borderId="15" xfId="32" applyFont="true" applyBorder="true" applyAlignment="true" applyProtection="true">
      <alignment horizontal="general" vertical="bottom" textRotation="0" wrapText="false" indent="0" shrinkToFit="false"/>
      <protection locked="true" hidden="false"/>
    </xf>
    <xf numFmtId="164" fontId="19" fillId="16" borderId="17" xfId="32" applyFont="true" applyBorder="true" applyAlignment="true" applyProtection="true">
      <alignment horizontal="general" vertical="bottom" textRotation="0" wrapText="false" indent="0" shrinkToFit="false"/>
      <protection locked="true" hidden="false"/>
    </xf>
    <xf numFmtId="164" fontId="19" fillId="16" borderId="15" xfId="32" applyFont="true" applyBorder="true" applyAlignment="true" applyProtection="true">
      <alignment horizontal="general" vertical="bottom" textRotation="0" wrapText="true" indent="0" shrinkToFit="false"/>
      <protection locked="true" hidden="false"/>
    </xf>
    <xf numFmtId="164" fontId="19" fillId="16" borderId="17" xfId="32" applyFont="true" applyBorder="true" applyAlignment="true" applyProtection="true">
      <alignment horizontal="general" vertical="bottom" textRotation="0" wrapText="true" indent="0" shrinkToFit="false"/>
      <protection locked="true" hidden="false"/>
    </xf>
    <xf numFmtId="164" fontId="19" fillId="2" borderId="0" xfId="32" applyFont="true" applyBorder="false" applyAlignment="true" applyProtection="true">
      <alignment horizontal="left" vertical="bottom" textRotation="0" wrapText="false" indent="0" shrinkToFit="false"/>
      <protection locked="true" hidden="false"/>
    </xf>
    <xf numFmtId="164" fontId="27" fillId="14" borderId="15" xfId="32" applyFont="true" applyBorder="true" applyAlignment="true" applyProtection="true">
      <alignment horizontal="general" vertical="center" textRotation="0" wrapText="false" indent="0" shrinkToFit="false"/>
      <protection locked="true" hidden="false"/>
    </xf>
    <xf numFmtId="164" fontId="27" fillId="14" borderId="16" xfId="32" applyFont="true" applyBorder="true" applyAlignment="true" applyProtection="true">
      <alignment horizontal="general" vertical="center" textRotation="0" wrapText="false" indent="0" shrinkToFit="false"/>
      <protection locked="true" hidden="false"/>
    </xf>
    <xf numFmtId="164" fontId="27" fillId="14" borderId="17" xfId="32" applyFont="true" applyBorder="true" applyAlignment="true" applyProtection="true">
      <alignment horizontal="general" vertical="center" textRotation="0" wrapText="false" indent="0" shrinkToFit="false"/>
      <protection locked="true" hidden="false"/>
    </xf>
    <xf numFmtId="164" fontId="19" fillId="16" borderId="21" xfId="32" applyFont="true" applyBorder="true" applyAlignment="true" applyProtection="true">
      <alignment horizontal="general" vertical="bottom" textRotation="0" wrapText="true" indent="0" shrinkToFit="false"/>
      <protection locked="true" hidden="false"/>
    </xf>
    <xf numFmtId="166" fontId="19" fillId="16" borderId="21" xfId="32" applyFont="true" applyBorder="true" applyAlignment="true" applyProtection="true">
      <alignment horizontal="center" vertical="bottom" textRotation="0" wrapText="true" indent="0" shrinkToFit="false"/>
      <protection locked="true" hidden="false"/>
    </xf>
    <xf numFmtId="164" fontId="19" fillId="16" borderId="16" xfId="32" applyFont="true" applyBorder="true" applyAlignment="true" applyProtection="true">
      <alignment horizontal="general" vertical="bottom" textRotation="0" wrapText="false" indent="0" shrinkToFit="false"/>
      <protection locked="true" hidden="false"/>
    </xf>
    <xf numFmtId="166" fontId="19" fillId="16" borderId="1" xfId="32" applyFont="true" applyBorder="true" applyAlignment="true" applyProtection="true">
      <alignment horizontal="center" vertical="bottom" textRotation="0" wrapText="true" indent="0" shrinkToFit="false"/>
      <protection locked="true" hidden="false"/>
    </xf>
    <xf numFmtId="164" fontId="19" fillId="3" borderId="0" xfId="32" applyFont="true" applyBorder="false" applyAlignment="true" applyProtection="true">
      <alignment horizontal="left" vertical="bottom" textRotation="0" wrapText="true" indent="0" shrinkToFit="false"/>
      <protection locked="true" hidden="false"/>
    </xf>
    <xf numFmtId="164" fontId="19" fillId="16" borderId="16" xfId="32" applyFont="true" applyBorder="true" applyAlignment="true" applyProtection="true">
      <alignment horizontal="left" vertical="top" textRotation="0" wrapText="false" indent="0" shrinkToFit="false"/>
      <protection locked="true" hidden="false"/>
    </xf>
    <xf numFmtId="164" fontId="19" fillId="16" borderId="17" xfId="32" applyFont="true" applyBorder="true" applyAlignment="true" applyProtection="true">
      <alignment horizontal="left" vertical="top" textRotation="0" wrapText="false" indent="0" shrinkToFit="false"/>
      <protection locked="true" hidden="false"/>
    </xf>
    <xf numFmtId="164" fontId="28" fillId="6" borderId="0" xfId="0" applyFont="true" applyBorder="true" applyAlignment="true" applyProtection="true">
      <alignment horizontal="left" vertical="bottom" textRotation="0" wrapText="true" indent="0" shrinkToFit="false"/>
      <protection locked="true" hidden="false"/>
    </xf>
    <xf numFmtId="164" fontId="15" fillId="0" borderId="0" xfId="32" applyFont="true" applyBorder="false" applyAlignment="true" applyProtection="true">
      <alignment horizontal="general" vertical="bottom" textRotation="0" wrapText="false" indent="0" shrinkToFit="false"/>
      <protection locked="true" hidden="false"/>
    </xf>
    <xf numFmtId="164" fontId="19" fillId="3" borderId="0" xfId="32" applyFont="true" applyBorder="false" applyAlignment="true" applyProtection="true">
      <alignment horizontal="general" vertical="bottom" textRotation="0" wrapText="true" indent="0" shrinkToFit="false"/>
      <protection locked="true" hidden="false"/>
    </xf>
    <xf numFmtId="164" fontId="26" fillId="13" borderId="0" xfId="32" applyFont="true" applyBorder="false" applyAlignment="true" applyProtection="true">
      <alignment horizontal="general" vertical="bottom" textRotation="0" wrapText="true" indent="0" shrinkToFit="false"/>
      <protection locked="true" hidden="false"/>
    </xf>
    <xf numFmtId="164" fontId="27" fillId="17" borderId="0" xfId="32" applyFont="true" applyBorder="false" applyAlignment="true" applyProtection="true">
      <alignment horizontal="general" vertical="bottom" textRotation="0" wrapText="true" indent="0" shrinkToFit="false"/>
      <protection locked="true" hidden="false"/>
    </xf>
    <xf numFmtId="164" fontId="27" fillId="17" borderId="0" xfId="32" applyFont="true" applyBorder="false" applyAlignment="true" applyProtection="true">
      <alignment horizontal="general" vertical="bottom" textRotation="0" wrapText="false" indent="0" shrinkToFit="false"/>
      <protection locked="true" hidden="false"/>
    </xf>
    <xf numFmtId="164" fontId="29" fillId="18" borderId="0" xfId="32" applyFont="true" applyBorder="false" applyAlignment="true" applyProtection="true">
      <alignment horizontal="left" vertical="bottom" textRotation="0" wrapText="true" indent="0" shrinkToFit="false"/>
      <protection locked="true" hidden="false"/>
    </xf>
    <xf numFmtId="164" fontId="19" fillId="18" borderId="0" xfId="32" applyFont="true" applyBorder="false" applyAlignment="true" applyProtection="true">
      <alignment horizontal="general" vertical="center" textRotation="0" wrapText="false" indent="0" shrinkToFit="false"/>
      <protection locked="true" hidden="false"/>
    </xf>
    <xf numFmtId="164" fontId="19" fillId="18" borderId="0" xfId="32" applyFont="true" applyBorder="false" applyAlignment="true" applyProtection="true">
      <alignment horizontal="general" vertical="center" textRotation="0" wrapText="true" indent="0" shrinkToFit="false"/>
      <protection locked="true" hidden="false"/>
    </xf>
    <xf numFmtId="172" fontId="10" fillId="18" borderId="0" xfId="32" applyFont="true" applyBorder="false" applyAlignment="true" applyProtection="true">
      <alignment horizontal="left" vertical="bottom" textRotation="0" wrapText="true" indent="0" shrinkToFit="false"/>
      <protection locked="true" hidden="false"/>
    </xf>
    <xf numFmtId="173" fontId="18" fillId="18" borderId="0" xfId="32" applyFont="true" applyBorder="false" applyAlignment="true" applyProtection="true">
      <alignment horizontal="general" vertical="center" textRotation="0" wrapText="true" indent="0" shrinkToFit="false"/>
      <protection locked="false" hidden="false"/>
    </xf>
    <xf numFmtId="174" fontId="19" fillId="18" borderId="0" xfId="32" applyFont="true" applyBorder="false" applyAlignment="true" applyProtection="true">
      <alignment horizontal="general" vertical="center" textRotation="0" wrapText="true" indent="0" shrinkToFit="false"/>
      <protection locked="true" hidden="false"/>
    </xf>
    <xf numFmtId="164" fontId="23" fillId="18" borderId="0" xfId="32" applyFont="true" applyBorder="false" applyAlignment="true" applyProtection="true">
      <alignment horizontal="general" vertical="bottom" textRotation="0" wrapText="false" indent="0" shrinkToFit="false"/>
      <protection locked="true" hidden="false"/>
    </xf>
    <xf numFmtId="164" fontId="30" fillId="18" borderId="0" xfId="32" applyFont="true" applyBorder="false" applyAlignment="true" applyProtection="true">
      <alignment horizontal="general" vertical="bottom" textRotation="0" wrapText="false" indent="0" shrinkToFit="false"/>
      <protection locked="false" hidden="false"/>
    </xf>
    <xf numFmtId="170" fontId="23" fillId="18" borderId="0" xfId="32" applyFont="true" applyBorder="false" applyAlignment="true" applyProtection="true">
      <alignment horizontal="general" vertical="bottom" textRotation="0" wrapText="true" indent="0" shrinkToFit="false"/>
      <protection locked="true" hidden="false"/>
    </xf>
    <xf numFmtId="164" fontId="23" fillId="18" borderId="0" xfId="32" applyFont="true" applyBorder="true" applyAlignment="true" applyProtection="true">
      <alignment horizontal="left" vertical="bottom" textRotation="0" wrapText="false" indent="0" shrinkToFit="false"/>
      <protection locked="true" hidden="false"/>
    </xf>
    <xf numFmtId="164" fontId="31" fillId="3" borderId="0" xfId="32" applyFont="true" applyBorder="false" applyAlignment="true" applyProtection="true">
      <alignment horizontal="general" vertical="bottom" textRotation="0" wrapText="false" indent="0" shrinkToFit="false"/>
      <protection locked="true" hidden="false"/>
    </xf>
    <xf numFmtId="164" fontId="19" fillId="18" borderId="0" xfId="32" applyFont="true" applyBorder="false" applyAlignment="true" applyProtection="true">
      <alignment horizontal="right" vertical="bottom" textRotation="0" wrapText="true" indent="0" shrinkToFit="false"/>
      <protection locked="true" hidden="false"/>
    </xf>
    <xf numFmtId="164" fontId="19" fillId="18" borderId="0" xfId="32" applyFont="true" applyBorder="false" applyAlignment="true" applyProtection="true">
      <alignment horizontal="general" vertical="bottom" textRotation="0" wrapText="false" indent="0" shrinkToFit="false"/>
      <protection locked="true" hidden="false"/>
    </xf>
    <xf numFmtId="164" fontId="19" fillId="18" borderId="0" xfId="32" applyFont="true" applyBorder="false" applyAlignment="true" applyProtection="true">
      <alignment horizontal="general" vertical="bottom" textRotation="0" wrapText="true" indent="0" shrinkToFit="false"/>
      <protection locked="true" hidden="false"/>
    </xf>
    <xf numFmtId="164" fontId="32" fillId="17" borderId="0" xfId="32" applyFont="true" applyBorder="false" applyAlignment="true" applyProtection="true">
      <alignment horizontal="left" vertical="bottom" textRotation="0" wrapText="false" indent="0" shrinkToFit="false"/>
      <protection locked="true" hidden="false"/>
    </xf>
    <xf numFmtId="164" fontId="32" fillId="17" borderId="0" xfId="32" applyFont="true" applyBorder="false" applyAlignment="true" applyProtection="true">
      <alignment horizontal="center" vertical="bottom" textRotation="0" wrapText="false" indent="0" shrinkToFit="false"/>
      <protection locked="true" hidden="false"/>
    </xf>
    <xf numFmtId="164" fontId="19" fillId="18" borderId="0" xfId="32" applyFont="true" applyBorder="false" applyAlignment="true" applyProtection="true">
      <alignment horizontal="left" vertical="bottom" textRotation="0" wrapText="false" indent="0" shrinkToFit="false"/>
      <protection locked="true" hidden="false"/>
    </xf>
    <xf numFmtId="170" fontId="19" fillId="18" borderId="0" xfId="32" applyFont="true" applyBorder="false" applyAlignment="true" applyProtection="true">
      <alignment horizontal="right" vertical="bottom" textRotation="0" wrapText="false" indent="0" shrinkToFit="false"/>
      <protection locked="true" hidden="false"/>
    </xf>
    <xf numFmtId="164" fontId="26" fillId="18" borderId="0" xfId="32" applyFont="true" applyBorder="false" applyAlignment="true" applyProtection="true">
      <alignment horizontal="general" vertical="bottom" textRotation="0" wrapText="true" indent="0" shrinkToFit="false"/>
      <protection locked="true" hidden="false"/>
    </xf>
    <xf numFmtId="170" fontId="26" fillId="18" borderId="18" xfId="32" applyFont="true" applyBorder="true" applyAlignment="true" applyProtection="true">
      <alignment horizontal="right" vertical="bottom" textRotation="0" wrapText="false" indent="0" shrinkToFit="false"/>
      <protection locked="true" hidden="false"/>
    </xf>
    <xf numFmtId="164" fontId="23" fillId="18" borderId="0" xfId="32" applyFont="true" applyBorder="false" applyAlignment="true" applyProtection="true">
      <alignment horizontal="right" vertical="bottom" textRotation="0" wrapText="false" indent="0" shrinkToFit="false"/>
      <protection locked="true" hidden="false"/>
    </xf>
    <xf numFmtId="164" fontId="26" fillId="6" borderId="0" xfId="32" applyFont="true" applyBorder="false" applyAlignment="true" applyProtection="true">
      <alignment horizontal="general" vertical="bottom" textRotation="0" wrapText="true" indent="0" shrinkToFit="false"/>
      <protection locked="true" hidden="false"/>
    </xf>
    <xf numFmtId="164" fontId="29" fillId="18" borderId="0" xfId="32" applyFont="true" applyBorder="false" applyAlignment="true" applyProtection="true">
      <alignment horizontal="left" vertical="bottom" textRotation="0" wrapText="false" indent="0" shrinkToFit="false"/>
      <protection locked="true" hidden="false"/>
    </xf>
    <xf numFmtId="164" fontId="30" fillId="3" borderId="0" xfId="32" applyFont="true" applyBorder="false" applyAlignment="true" applyProtection="true">
      <alignment horizontal="general" vertical="bottom" textRotation="0" wrapText="false" indent="0" shrinkToFit="false"/>
      <protection locked="true" hidden="false"/>
    </xf>
    <xf numFmtId="170" fontId="23" fillId="3" borderId="0" xfId="32" applyFont="true" applyBorder="false" applyAlignment="true" applyProtection="true">
      <alignment horizontal="general" vertical="bottom" textRotation="0" wrapText="true" indent="0" shrinkToFit="false"/>
      <protection locked="true" hidden="false"/>
    </xf>
    <xf numFmtId="164" fontId="26" fillId="6" borderId="0" xfId="32" applyFont="true" applyBorder="false" applyAlignment="true" applyProtection="true">
      <alignment horizontal="left" vertical="bottom" textRotation="0" wrapText="false" indent="0" shrinkToFit="false"/>
      <protection locked="true" hidden="false"/>
    </xf>
    <xf numFmtId="164" fontId="32" fillId="6" borderId="0" xfId="32" applyFont="true" applyBorder="false" applyAlignment="true" applyProtection="true">
      <alignment horizontal="center" vertical="bottom" textRotation="0" wrapText="false" indent="0" shrinkToFit="false"/>
      <protection locked="true" hidden="false"/>
    </xf>
    <xf numFmtId="170" fontId="26" fillId="18" borderId="0" xfId="32"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28" fillId="13" borderId="22"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left" vertical="center" textRotation="0" wrapText="true" indent="0" shrinkToFit="false"/>
      <protection locked="true" hidden="false"/>
    </xf>
    <xf numFmtId="164" fontId="28" fillId="12" borderId="2" xfId="0" applyFont="true" applyBorder="true" applyAlignment="true" applyProtection="true">
      <alignment horizontal="left" vertical="center" textRotation="0" wrapText="true" indent="0" shrinkToFit="false"/>
      <protection locked="true" hidden="false"/>
    </xf>
    <xf numFmtId="164" fontId="34" fillId="12" borderId="2" xfId="0" applyFont="true" applyBorder="true" applyAlignment="true" applyProtection="true">
      <alignment horizontal="left" vertical="center" textRotation="0" wrapText="true" indent="0" shrinkToFit="false"/>
      <protection locked="true" hidden="false"/>
    </xf>
    <xf numFmtId="164" fontId="6" fillId="12" borderId="2" xfId="0" applyFont="true" applyBorder="true" applyAlignment="true" applyProtection="true">
      <alignment horizontal="left" vertical="bottom" textRotation="0" wrapText="false" indent="0" shrinkToFit="false"/>
      <protection locked="true" hidden="false"/>
    </xf>
    <xf numFmtId="164" fontId="6" fillId="12" borderId="12" xfId="0" applyFont="true" applyBorder="true" applyAlignment="true" applyProtection="true">
      <alignment horizontal="left" vertical="bottom" textRotation="0" wrapText="false" indent="0" shrinkToFit="false"/>
      <protection locked="true" hidden="false"/>
    </xf>
    <xf numFmtId="164" fontId="28" fillId="7" borderId="1" xfId="0" applyFont="true" applyBorder="true" applyAlignment="true" applyProtection="true">
      <alignment horizontal="center" vertical="bottom" textRotation="0" wrapText="false" indent="0" shrinkToFit="false"/>
      <protection locked="true" hidden="false"/>
    </xf>
    <xf numFmtId="164" fontId="35" fillId="19"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center" textRotation="0" wrapText="false" indent="0" shrinkToFit="false"/>
      <protection locked="true" hidden="false"/>
    </xf>
    <xf numFmtId="164" fontId="36" fillId="3" borderId="1" xfId="0" applyFont="true" applyBorder="true" applyAlignment="true" applyProtection="true">
      <alignment horizontal="center" vertical="center" textRotation="0" wrapText="true" indent="0" shrinkToFit="false"/>
      <protection locked="true" hidden="false"/>
    </xf>
    <xf numFmtId="164" fontId="28" fillId="0" borderId="1" xfId="0" applyFont="true" applyBorder="true" applyAlignment="true" applyProtection="true">
      <alignment horizontal="center" vertical="center" textRotation="0" wrapText="true" indent="0" shrinkToFit="false"/>
      <protection locked="true" hidden="false"/>
    </xf>
    <xf numFmtId="164" fontId="28" fillId="0" borderId="1" xfId="0" applyFont="true" applyBorder="true" applyAlignment="true" applyProtection="true">
      <alignment horizontal="general" vertical="bottom" textRotation="0" wrapText="false" indent="0" shrinkToFit="false"/>
      <protection locked="true" hidden="false"/>
    </xf>
    <xf numFmtId="164" fontId="28" fillId="0" borderId="1" xfId="0" applyFont="true" applyBorder="true" applyAlignment="true" applyProtection="true">
      <alignment horizontal="general" vertical="bottom" textRotation="0" wrapText="true" indent="0" shrinkToFit="false"/>
      <protection locked="true" hidden="false"/>
    </xf>
    <xf numFmtId="164" fontId="28" fillId="0"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70"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15" fillId="0" borderId="1" xfId="0" applyFont="true" applyBorder="true" applyAlignment="true" applyProtection="true">
      <alignment horizontal="general" vertical="center" textRotation="0" wrapText="true" indent="0" shrinkToFit="false"/>
      <protection locked="true" hidden="false"/>
    </xf>
    <xf numFmtId="172" fontId="37" fillId="0" borderId="1" xfId="0" applyFont="true" applyBorder="true" applyAlignment="true" applyProtection="true">
      <alignment horizontal="center" vertical="center" textRotation="0" wrapText="true" indent="0" shrinkToFit="false" readingOrder="1"/>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6" fillId="0" borderId="23" xfId="0" applyFont="true" applyBorder="true" applyAlignment="true" applyProtection="true">
      <alignment horizontal="general" vertical="bottom" textRotation="0" wrapText="false" indent="0" shrinkToFit="false"/>
      <protection locked="true" hidden="false"/>
    </xf>
    <xf numFmtId="164" fontId="6" fillId="0" borderId="24"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center" textRotation="0" wrapText="true" indent="0" shrinkToFit="false"/>
      <protection locked="true" hidden="false"/>
    </xf>
    <xf numFmtId="164" fontId="28" fillId="7" borderId="1" xfId="0" applyFont="true" applyBorder="true" applyAlignment="true" applyProtection="true">
      <alignment horizontal="center" vertical="bottom" textRotation="0" wrapText="true" indent="0" shrinkToFit="false"/>
      <protection locked="true" hidden="false"/>
    </xf>
    <xf numFmtId="164" fontId="35" fillId="19" borderId="1" xfId="0" applyFont="true" applyBorder="true" applyAlignment="true" applyProtection="true">
      <alignment horizontal="center" vertical="bottom" textRotation="0" wrapText="true" indent="0" shrinkToFit="false"/>
      <protection locked="true" hidden="false"/>
    </xf>
    <xf numFmtId="164" fontId="28" fillId="0" borderId="1" xfId="0" applyFont="true" applyBorder="true" applyAlignment="true" applyProtection="true">
      <alignment horizontal="left" vertical="center" textRotation="0" wrapText="true" indent="0" shrinkToFit="false"/>
      <protection locked="true" hidden="false"/>
    </xf>
    <xf numFmtId="172" fontId="6" fillId="0" borderId="1" xfId="0" applyFont="true" applyBorder="true" applyAlignment="true" applyProtection="true">
      <alignment horizontal="left" vertical="bottom" textRotation="0" wrapText="true" indent="0" shrinkToFit="false"/>
      <protection locked="true" hidden="false"/>
    </xf>
    <xf numFmtId="175" fontId="6" fillId="0" borderId="1" xfId="0" applyFont="true" applyBorder="true" applyAlignment="true" applyProtection="true">
      <alignment horizontal="center" vertical="bottom" textRotation="0" wrapText="false" indent="0" shrinkToFit="false"/>
      <protection locked="true" hidden="false"/>
    </xf>
    <xf numFmtId="172" fontId="6" fillId="0"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72" fontId="6" fillId="0" borderId="1" xfId="0" applyFont="true" applyBorder="true" applyAlignment="true" applyProtection="true">
      <alignment horizontal="general" vertical="bottom"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38" fillId="3" borderId="1"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39" fillId="0" borderId="1" xfId="0" applyFont="true" applyBorder="true" applyAlignment="true" applyProtection="true">
      <alignment horizontal="center" vertical="center" textRotation="0" wrapText="true" indent="0" shrinkToFit="false"/>
      <protection locked="true" hidden="false"/>
    </xf>
    <xf numFmtId="164" fontId="40" fillId="0" borderId="1" xfId="0" applyFont="true" applyBorder="true" applyAlignment="true" applyProtection="true">
      <alignment horizontal="center" vertical="center" textRotation="0" wrapText="true" indent="0" shrinkToFit="false"/>
      <protection locked="true" hidden="false"/>
    </xf>
    <xf numFmtId="164" fontId="39" fillId="0" borderId="0" xfId="0" applyFont="true" applyBorder="false" applyAlignment="true" applyProtection="true">
      <alignment horizontal="general" vertical="center" textRotation="0" wrapText="true" indent="0" shrinkToFit="false"/>
      <protection locked="true" hidden="false"/>
    </xf>
    <xf numFmtId="172" fontId="41" fillId="0" borderId="1" xfId="0" applyFont="true" applyBorder="true" applyAlignment="true" applyProtection="true">
      <alignment horizontal="center" vertical="center" textRotation="0" wrapText="true" indent="0" shrinkToFit="false"/>
      <protection locked="true" hidden="false"/>
    </xf>
    <xf numFmtId="164" fontId="42" fillId="0" borderId="1" xfId="0" applyFont="true" applyBorder="true" applyAlignment="true" applyProtection="true">
      <alignment horizontal="center" vertical="center" textRotation="0" wrapText="true" indent="0" shrinkToFit="false"/>
      <protection locked="true" hidden="false"/>
    </xf>
    <xf numFmtId="164" fontId="39" fillId="0" borderId="0" xfId="0" applyFont="true" applyBorder="false" applyAlignment="true" applyProtection="true">
      <alignment horizontal="center" vertical="center" textRotation="0" wrapText="true" indent="0" shrinkToFit="false"/>
      <protection locked="true" hidden="false"/>
    </xf>
    <xf numFmtId="164" fontId="43" fillId="20" borderId="0" xfId="0" applyFont="true" applyBorder="true" applyAlignment="true" applyProtection="true">
      <alignment horizontal="center" vertical="center" textRotation="0" wrapText="true" indent="0" shrinkToFit="false"/>
      <protection locked="true" hidden="false"/>
    </xf>
    <xf numFmtId="164" fontId="44" fillId="14" borderId="1" xfId="0" applyFont="true" applyBorder="true" applyAlignment="true" applyProtection="true">
      <alignment horizontal="center" vertical="center" textRotation="0" wrapText="true" indent="0" shrinkToFit="false"/>
      <protection locked="true" hidden="false"/>
    </xf>
    <xf numFmtId="164" fontId="45" fillId="0" borderId="25" xfId="0" applyFont="true" applyBorder="true" applyAlignment="true" applyProtection="true">
      <alignment horizontal="left" vertical="center" textRotation="0" wrapText="true" indent="0" shrinkToFit="false"/>
      <protection locked="true" hidden="false"/>
    </xf>
    <xf numFmtId="164" fontId="45" fillId="0" borderId="1" xfId="0" applyFont="true" applyBorder="tru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72" fontId="7" fillId="0" borderId="1" xfId="0" applyFont="true" applyBorder="true" applyAlignment="true" applyProtection="true">
      <alignment horizontal="left" vertical="center" textRotation="0" wrapText="true" indent="0" shrinkToFit="false"/>
      <protection locked="true" hidden="false"/>
    </xf>
    <xf numFmtId="164" fontId="15" fillId="0" borderId="1" xfId="0" applyFont="true" applyBorder="tru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70" fontId="7"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general" vertical="center" textRotation="0" wrapText="true" indent="0" shrinkToFit="false"/>
      <protection locked="true" hidden="false"/>
    </xf>
    <xf numFmtId="164" fontId="7" fillId="3" borderId="21" xfId="0" applyFont="true" applyBorder="true" applyAlignment="true" applyProtection="true">
      <alignment horizontal="general" vertical="center" textRotation="0" wrapText="tru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7" fontId="6" fillId="0" borderId="1" xfId="0" applyFont="true" applyBorder="true" applyAlignment="true" applyProtection="true">
      <alignment horizontal="center" vertical="center" textRotation="0" wrapText="true" indent="0" shrinkToFit="false"/>
      <protection locked="true" hidden="false"/>
    </xf>
    <xf numFmtId="164" fontId="6" fillId="3" borderId="0" xfId="0" applyFont="true" applyBorder="false" applyAlignment="true" applyProtection="true">
      <alignment horizontal="left" vertical="center" textRotation="0" wrapText="true" indent="0" shrinkToFit="false"/>
      <protection locked="true" hidden="false"/>
    </xf>
    <xf numFmtId="167" fontId="6" fillId="3" borderId="1" xfId="0" applyFont="true" applyBorder="true" applyAlignment="true" applyProtection="true">
      <alignment horizontal="center" vertical="center" textRotation="0" wrapText="true" indent="0" shrinkToFit="false"/>
      <protection locked="true" hidden="false"/>
    </xf>
    <xf numFmtId="164" fontId="6" fillId="3" borderId="0" xfId="0" applyFont="true" applyBorder="false" applyAlignment="true" applyProtection="true">
      <alignment horizontal="general" vertical="center" textRotation="0" wrapText="true" indent="0" shrinkToFit="false"/>
      <protection locked="true" hidden="false"/>
    </xf>
    <xf numFmtId="172" fontId="36" fillId="3" borderId="25" xfId="0" applyFont="true" applyBorder="true" applyAlignment="true" applyProtection="true">
      <alignment horizontal="general" vertical="center" textRotation="0" wrapText="true" indent="0" shrinkToFit="false"/>
      <protection locked="true" hidden="false"/>
    </xf>
    <xf numFmtId="164" fontId="36" fillId="3" borderId="1" xfId="0" applyFont="true" applyBorder="true" applyAlignment="true" applyProtection="true">
      <alignment horizontal="general" vertical="center" textRotation="0" wrapText="true" indent="0" shrinkToFit="false"/>
      <protection locked="true" hidden="false"/>
    </xf>
    <xf numFmtId="172" fontId="7" fillId="3" borderId="0" xfId="0" applyFont="true" applyBorder="false" applyAlignment="true" applyProtection="true">
      <alignment horizontal="general" vertical="center" textRotation="0" wrapText="true" indent="0" shrinkToFit="false"/>
      <protection locked="true" hidden="false"/>
    </xf>
    <xf numFmtId="172" fontId="7" fillId="3" borderId="1" xfId="0" applyFont="true" applyBorder="true" applyAlignment="true" applyProtection="true">
      <alignment horizontal="center" vertical="center" textRotation="0" wrapText="true" indent="0" shrinkToFit="false"/>
      <protection locked="true" hidden="false"/>
    </xf>
    <xf numFmtId="172" fontId="7" fillId="3" borderId="0" xfId="0" applyFont="true" applyBorder="false" applyAlignment="true" applyProtection="true">
      <alignment horizontal="left" vertical="center" textRotation="0" wrapText="true" indent="0" shrinkToFit="false"/>
      <protection locked="true" hidden="false"/>
    </xf>
    <xf numFmtId="164" fontId="6" fillId="3" borderId="21" xfId="0" applyFont="true" applyBorder="true" applyAlignment="true" applyProtection="true">
      <alignment horizontal="general" vertical="center" textRotation="0" wrapText="true" indent="0" shrinkToFit="false"/>
      <protection locked="true" hidden="false"/>
    </xf>
    <xf numFmtId="176" fontId="7" fillId="3" borderId="1" xfId="0" applyFont="true" applyBorder="true" applyAlignment="true" applyProtection="true">
      <alignment horizontal="left" vertical="center" textRotation="0" wrapText="true" indent="0" shrinkToFit="false"/>
      <protection locked="true" hidden="false"/>
    </xf>
    <xf numFmtId="164" fontId="6" fillId="3" borderId="1" xfId="0" applyFont="true" applyBorder="true" applyAlignment="true" applyProtection="true">
      <alignment horizontal="left" vertical="center" textRotation="0" wrapText="true" indent="0" shrinkToFit="false"/>
      <protection locked="true" hidden="false"/>
    </xf>
    <xf numFmtId="170" fontId="6" fillId="3" borderId="1" xfId="0" applyFont="true" applyBorder="true" applyAlignment="true" applyProtection="true">
      <alignment horizontal="center" vertical="center" textRotation="0" wrapText="true" indent="0" shrinkToFit="false"/>
      <protection locked="true" hidden="false"/>
    </xf>
    <xf numFmtId="164" fontId="7" fillId="3"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70" fontId="6" fillId="0" borderId="1" xfId="0" applyFont="true" applyBorder="true" applyAlignment="true" applyProtection="true">
      <alignment horizontal="center" vertical="center" textRotation="0" wrapText="true" indent="0" shrinkToFit="false"/>
      <protection locked="true" hidden="false"/>
    </xf>
    <xf numFmtId="164" fontId="36" fillId="0" borderId="25" xfId="0" applyFont="true" applyBorder="true" applyAlignment="true" applyProtection="true">
      <alignment horizontal="general" vertical="center" textRotation="0" wrapText="true" indent="0" shrinkToFit="false"/>
      <protection locked="true" hidden="false"/>
    </xf>
    <xf numFmtId="164" fontId="36" fillId="0" borderId="1" xfId="0" applyFont="true" applyBorder="true" applyAlignment="true" applyProtection="true">
      <alignment horizontal="general" vertical="center" textRotation="0" wrapText="true" indent="0" shrinkToFit="false"/>
      <protection locked="true" hidden="false"/>
    </xf>
    <xf numFmtId="172" fontId="7" fillId="0" borderId="1"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right" vertical="center" textRotation="0" wrapText="true" indent="0" shrinkToFit="false"/>
      <protection locked="true" hidden="false"/>
    </xf>
    <xf numFmtId="164" fontId="6" fillId="0" borderId="24" xfId="0" applyFont="true" applyBorder="true" applyAlignment="true" applyProtection="true">
      <alignment horizontal="general" vertical="center" textRotation="0" wrapText="true" indent="0" shrinkToFit="false"/>
      <protection locked="true" hidden="false"/>
    </xf>
    <xf numFmtId="164" fontId="28" fillId="0" borderId="0" xfId="0" applyFont="true" applyBorder="false" applyAlignment="true" applyProtection="true">
      <alignment horizontal="general" vertical="center" textRotation="0" wrapText="true" indent="0" shrinkToFit="false"/>
      <protection locked="true" hidden="false"/>
    </xf>
    <xf numFmtId="164" fontId="46"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0" fillId="0" borderId="1" xfId="0" applyFont="fals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0" fillId="0" borderId="26" xfId="0" applyFont="false" applyBorder="true" applyAlignment="true" applyProtection="true">
      <alignment horizontal="center" vertical="center" textRotation="0" wrapText="true" indent="0" shrinkToFit="false"/>
      <protection locked="true" hidden="false"/>
    </xf>
    <xf numFmtId="164" fontId="0" fillId="0" borderId="26" xfId="0" applyFont="false" applyBorder="true" applyAlignment="true" applyProtection="true">
      <alignment horizontal="general" vertical="bottom" textRotation="0" wrapText="true" indent="0" shrinkToFit="false"/>
      <protection locked="true" hidden="false"/>
    </xf>
    <xf numFmtId="164" fontId="6" fillId="3" borderId="0" xfId="0" applyFont="true" applyBorder="false" applyAlignment="true" applyProtection="true">
      <alignment horizontal="left"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35" fillId="8" borderId="1" xfId="25" applyFont="true" applyBorder="true" applyAlignment="true" applyProtection="true">
      <alignment horizontal="center" vertical="center" textRotation="0" wrapText="true" indent="0" shrinkToFit="false"/>
      <protection locked="true" hidden="false"/>
    </xf>
    <xf numFmtId="164" fontId="36" fillId="21" borderId="1" xfId="0" applyFont="true" applyBorder="true" applyAlignment="true" applyProtection="true">
      <alignment horizontal="general" vertical="bottom" textRotation="0" wrapText="false" indent="0" shrinkToFit="false"/>
      <protection locked="true" hidden="false"/>
    </xf>
    <xf numFmtId="164" fontId="36" fillId="21"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8" fontId="7" fillId="0" borderId="1" xfId="0" applyFont="true" applyBorder="true" applyAlignment="true" applyProtection="true">
      <alignment horizontal="center" vertical="center" textRotation="0" wrapText="false" indent="0" shrinkToFit="false"/>
      <protection locked="true" hidden="false"/>
    </xf>
    <xf numFmtId="164" fontId="36" fillId="2" borderId="1" xfId="0" applyFont="true" applyBorder="true" applyAlignment="true" applyProtection="true">
      <alignment horizontal="left" vertical="center" textRotation="0" wrapText="false" indent="0" shrinkToFit="false"/>
      <protection locked="true" hidden="false"/>
    </xf>
    <xf numFmtId="164" fontId="36" fillId="2" borderId="1" xfId="0" applyFont="true" applyBorder="true" applyAlignment="true" applyProtection="true">
      <alignment horizontal="center" vertical="center"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70" fontId="7" fillId="0" borderId="1" xfId="0" applyFont="true" applyBorder="true" applyAlignment="true" applyProtection="true">
      <alignment horizontal="center" vertical="center" textRotation="0" wrapText="false" indent="0" shrinkToFit="false"/>
      <protection locked="true" hidden="false"/>
    </xf>
    <xf numFmtId="170" fontId="6" fillId="0" borderId="1" xfId="0" applyFont="true" applyBorder="true" applyAlignment="true" applyProtection="true">
      <alignment horizontal="center" vertical="center"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25" fillId="0" borderId="1" xfId="0" applyFont="true" applyBorder="true" applyAlignment="true" applyProtection="true">
      <alignment horizontal="center" vertical="center" textRotation="0" wrapText="false" indent="0" shrinkToFit="false"/>
      <protection locked="false" hidden="false"/>
    </xf>
    <xf numFmtId="164" fontId="6" fillId="3" borderId="27" xfId="0" applyFont="true" applyBorder="true" applyAlignment="true" applyProtection="true">
      <alignment horizontal="general" vertical="bottom" textRotation="0" wrapText="false" indent="0" shrinkToFit="false"/>
      <protection locked="true" hidden="false"/>
    </xf>
    <xf numFmtId="170" fontId="6" fillId="3" borderId="25" xfId="0" applyFont="true" applyBorder="true" applyAlignment="true" applyProtection="true">
      <alignment horizontal="center" vertical="center" textRotation="0" wrapText="false" indent="0" shrinkToFit="false"/>
      <protection locked="true" hidden="false"/>
    </xf>
    <xf numFmtId="170" fontId="6" fillId="3" borderId="28" xfId="0" applyFont="true" applyBorder="true" applyAlignment="true" applyProtection="true">
      <alignment horizontal="center" vertical="center" textRotation="0" wrapText="false" indent="0" shrinkToFit="false"/>
      <protection locked="true" hidden="false"/>
    </xf>
    <xf numFmtId="164" fontId="36" fillId="6" borderId="27" xfId="0" applyFont="true" applyBorder="true" applyAlignment="true" applyProtection="true">
      <alignment horizontal="left" vertical="center" textRotation="0" wrapText="false" indent="0" shrinkToFit="false"/>
      <protection locked="true" hidden="false"/>
    </xf>
    <xf numFmtId="164" fontId="36" fillId="6" borderId="25" xfId="0" applyFont="true" applyBorder="true" applyAlignment="true" applyProtection="true">
      <alignment horizontal="center" vertical="center" textRotation="0" wrapText="false" indent="0" shrinkToFit="false"/>
      <protection locked="true" hidden="false"/>
    </xf>
    <xf numFmtId="164" fontId="36" fillId="6" borderId="25" xfId="0" applyFont="true" applyBorder="true" applyAlignment="true" applyProtection="true">
      <alignment horizontal="general" vertical="bottom" textRotation="0" wrapText="false" indent="0" shrinkToFit="false"/>
      <protection locked="true" hidden="false"/>
    </xf>
    <xf numFmtId="164" fontId="36" fillId="6" borderId="28"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72" fontId="6" fillId="13" borderId="1"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6" fillId="0" borderId="15" xfId="0" applyFont="true" applyBorder="true" applyAlignment="true" applyProtection="true">
      <alignment horizontal="general" vertical="bottom" textRotation="0" wrapText="false" indent="0" shrinkToFit="false"/>
      <protection locked="true" hidden="false"/>
    </xf>
    <xf numFmtId="164" fontId="6" fillId="0" borderId="16" xfId="0" applyFont="true" applyBorder="true" applyAlignment="true" applyProtection="true">
      <alignment horizontal="general" vertical="bottom" textRotation="0" wrapText="false" indent="0" shrinkToFit="false"/>
      <protection locked="true" hidden="false"/>
    </xf>
    <xf numFmtId="164" fontId="6" fillId="0" borderId="17" xfId="0" applyFont="true" applyBorder="true" applyAlignment="true" applyProtection="true">
      <alignment horizontal="general" vertical="bottom" textRotation="0" wrapText="false" indent="0" shrinkToFit="false"/>
      <protection locked="true" hidden="false"/>
    </xf>
    <xf numFmtId="164" fontId="36" fillId="6" borderId="15" xfId="0" applyFont="true" applyBorder="true" applyAlignment="true" applyProtection="true">
      <alignment horizontal="left" vertical="center" textRotation="0" wrapText="false" indent="0" shrinkToFit="false"/>
      <protection locked="true" hidden="false"/>
    </xf>
    <xf numFmtId="164" fontId="36" fillId="6" borderId="16" xfId="0" applyFont="true" applyBorder="true" applyAlignment="true" applyProtection="true">
      <alignment horizontal="center" vertical="center" textRotation="0" wrapText="false" indent="0" shrinkToFit="false"/>
      <protection locked="true" hidden="false"/>
    </xf>
    <xf numFmtId="164" fontId="36" fillId="6" borderId="16" xfId="0" applyFont="true" applyBorder="true" applyAlignment="true" applyProtection="true">
      <alignment horizontal="general" vertical="bottom" textRotation="0" wrapText="false" indent="0" shrinkToFit="false"/>
      <protection locked="true" hidden="false"/>
    </xf>
    <xf numFmtId="164" fontId="36" fillId="6" borderId="17"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70" fontId="6" fillId="13" borderId="1" xfId="0" applyFont="true" applyBorder="true" applyAlignment="true" applyProtection="true">
      <alignment horizontal="center" vertical="center" textRotation="0" wrapText="false" indent="0" shrinkToFit="false"/>
      <protection locked="true" hidden="false"/>
    </xf>
    <xf numFmtId="172" fontId="36" fillId="6" borderId="1" xfId="0" applyFont="true" applyBorder="true" applyAlignment="true" applyProtection="true">
      <alignment horizontal="center" vertical="center" textRotation="0" wrapText="false" indent="0" shrinkToFit="false"/>
      <protection locked="true" hidden="false"/>
    </xf>
    <xf numFmtId="164" fontId="6" fillId="0" borderId="0" xfId="28" applyFont="true" applyBorder="false" applyAlignment="true" applyProtection="true">
      <alignment horizontal="general" vertical="bottom" textRotation="0" wrapText="false" indent="0" shrinkToFit="false"/>
      <protection locked="true" hidden="false"/>
    </xf>
    <xf numFmtId="164" fontId="17" fillId="0" borderId="13" xfId="27" applyFont="true" applyBorder="true" applyAlignment="true" applyProtection="true">
      <alignment horizontal="general" vertical="center" textRotation="0" wrapText="true" indent="0" shrinkToFit="false"/>
      <protection locked="true" hidden="false"/>
    </xf>
    <xf numFmtId="170" fontId="17" fillId="0" borderId="13" xfId="27" applyFont="true" applyBorder="true" applyAlignment="true" applyProtection="true">
      <alignment horizontal="center" vertical="center" textRotation="0" wrapText="true" indent="0" shrinkToFit="false"/>
      <protection locked="true" hidden="false"/>
    </xf>
    <xf numFmtId="164" fontId="21" fillId="0" borderId="13" xfId="27" applyFont="true" applyBorder="true" applyAlignment="true" applyProtection="true">
      <alignment horizontal="center" vertical="center" textRotation="0" wrapText="true" indent="0" shrinkToFit="false"/>
      <protection locked="true" hidden="false"/>
    </xf>
    <xf numFmtId="164" fontId="6" fillId="0" borderId="13" xfId="28" applyFont="true" applyBorder="true" applyAlignment="true" applyProtection="true">
      <alignment horizontal="general" vertical="bottom" textRotation="0" wrapText="false" indent="0" shrinkToFit="false"/>
      <protection locked="true" hidden="false"/>
    </xf>
    <xf numFmtId="164" fontId="6" fillId="0" borderId="13" xfId="28" applyFont="true" applyBorder="true" applyAlignment="true" applyProtection="true">
      <alignment horizontal="center" vertical="bottom" textRotation="0" wrapText="false" indent="0" shrinkToFit="false"/>
      <protection locked="true" hidden="false"/>
    </xf>
    <xf numFmtId="177" fontId="0" fillId="0" borderId="13" xfId="31" applyFont="true" applyBorder="true" applyAlignment="true" applyProtection="true">
      <alignment horizontal="general" vertical="bottom" textRotation="0" wrapText="false" indent="0" shrinkToFit="false"/>
      <protection locked="true" hidden="false"/>
    </xf>
    <xf numFmtId="170" fontId="0" fillId="0" borderId="13" xfId="31" applyFont="true" applyBorder="true" applyAlignment="true" applyProtection="true">
      <alignment horizontal="general" vertical="bottom" textRotation="0" wrapText="false" indent="0" shrinkToFit="false"/>
      <protection locked="true" hidden="false"/>
    </xf>
    <xf numFmtId="170" fontId="6" fillId="0" borderId="13" xfId="28" applyFont="true" applyBorder="true" applyAlignment="true" applyProtection="true">
      <alignment horizontal="general" vertical="bottom" textRotation="0" wrapText="false" indent="0" shrinkToFit="false"/>
      <protection locked="true" hidden="false"/>
    </xf>
    <xf numFmtId="164" fontId="15" fillId="0" borderId="13" xfId="32" applyFont="true" applyBorder="true" applyAlignment="true" applyProtection="true">
      <alignment horizontal="left" vertical="center" textRotation="0" wrapText="true" indent="0" shrinkToFit="false"/>
      <protection locked="true" hidden="false"/>
    </xf>
    <xf numFmtId="170" fontId="15" fillId="0" borderId="13" xfId="32" applyFont="true" applyBorder="true" applyAlignment="true" applyProtection="true">
      <alignment horizontal="right" vertical="bottom" textRotation="0" wrapText="false" indent="0" shrinkToFit="false"/>
      <protection locked="true" hidden="false"/>
    </xf>
    <xf numFmtId="164" fontId="47" fillId="6" borderId="1" xfId="24" applyFont="true" applyBorder="true" applyAlignment="true" applyProtection="true">
      <alignment horizontal="center" vertical="bottom" textRotation="0" wrapText="false" indent="0" shrinkToFit="false"/>
      <protection locked="true" hidden="false"/>
    </xf>
    <xf numFmtId="164" fontId="47" fillId="6" borderId="1" xfId="24" applyFont="true" applyBorder="true" applyAlignment="true" applyProtection="true">
      <alignment horizontal="general" vertical="bottom" textRotation="0" wrapText="true" indent="0" shrinkToFit="false"/>
      <protection locked="true" hidden="false"/>
    </xf>
    <xf numFmtId="164" fontId="47" fillId="0" borderId="1" xfId="24" applyFont="true" applyBorder="true" applyAlignment="true" applyProtection="true">
      <alignment horizontal="left" vertical="bottom" textRotation="0" wrapText="tru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48" fillId="0" borderId="1" xfId="24" applyFont="true" applyBorder="true" applyAlignment="true" applyProtection="true">
      <alignment horizontal="general" vertical="bottom" textRotation="0" wrapText="true" indent="0" shrinkToFit="false"/>
      <protection locked="true" hidden="false"/>
    </xf>
    <xf numFmtId="172" fontId="15" fillId="0" borderId="1" xfId="24" applyFont="true" applyBorder="true" applyAlignment="true" applyProtection="true">
      <alignment horizontal="center" vertical="center" textRotation="0" wrapText="false" indent="0" shrinkToFit="false"/>
      <protection locked="true" hidden="false"/>
    </xf>
    <xf numFmtId="164" fontId="49" fillId="0" borderId="1" xfId="0" applyFont="true" applyBorder="true" applyAlignment="true" applyProtection="true">
      <alignment horizontal="general" vertical="bottom" textRotation="0" wrapText="false" indent="0" shrinkToFit="false"/>
      <protection locked="true" hidden="false"/>
    </xf>
    <xf numFmtId="164" fontId="50" fillId="3" borderId="1" xfId="24" applyFont="true" applyBorder="true" applyAlignment="true" applyProtection="true">
      <alignment horizontal="general" vertical="bottom" textRotation="0" wrapText="true" indent="0" shrinkToFit="false"/>
      <protection locked="true" hidden="false"/>
    </xf>
    <xf numFmtId="164" fontId="15" fillId="0" borderId="1" xfId="24" applyFont="true" applyBorder="true" applyAlignment="true" applyProtection="true">
      <alignment horizontal="general" vertical="top" textRotation="0" wrapText="true" indent="0" shrinkToFit="false"/>
      <protection locked="true" hidden="false"/>
    </xf>
    <xf numFmtId="164" fontId="15" fillId="0" borderId="1" xfId="24" applyFont="true" applyBorder="true" applyAlignment="true" applyProtection="true">
      <alignment horizontal="general" vertical="bottom" textRotation="0" wrapText="true" indent="0" shrinkToFit="false"/>
      <protection locked="true" hidden="false"/>
    </xf>
    <xf numFmtId="164" fontId="47" fillId="0" borderId="1" xfId="24" applyFont="true" applyBorder="true" applyAlignment="true" applyProtection="true">
      <alignment horizontal="left" vertical="bottom" textRotation="0" wrapText="false" indent="0" shrinkToFit="false"/>
      <protection locked="true" hidden="false"/>
    </xf>
    <xf numFmtId="164" fontId="49" fillId="0" borderId="1" xfId="0" applyFont="true" applyBorder="true" applyAlignment="true" applyProtection="true">
      <alignment horizontal="left" vertical="bottom" textRotation="0" wrapText="false" indent="0" shrinkToFit="false"/>
      <protection locked="true" hidden="false"/>
    </xf>
    <xf numFmtId="164" fontId="51" fillId="3" borderId="1" xfId="24" applyFont="true" applyBorder="true" applyAlignment="true" applyProtection="true">
      <alignment horizontal="general" vertical="bottom"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Comma 2" xfId="21"/>
    <cellStyle name="Comma 3" xfId="22"/>
    <cellStyle name="Comma 4" xfId="23"/>
    <cellStyle name="Normal 2" xfId="24"/>
    <cellStyle name="Normal 2 4" xfId="25"/>
    <cellStyle name="Normal 3" xfId="26"/>
    <cellStyle name="Normal 3 3" xfId="27"/>
    <cellStyle name="Normal 4" xfId="28"/>
    <cellStyle name="Normal 5" xfId="29"/>
    <cellStyle name="Percent 2" xfId="30"/>
    <cellStyle name="Percent 3" xfId="31"/>
    <cellStyle name="*unknown*" xfId="20" builtinId="8"/>
    <cellStyle name="Excel Built-in Normal" xfId="32"/>
  </cellStyles>
  <colors>
    <indexedColors>
      <rgbColor rgb="FF000000"/>
      <rgbColor rgb="FFFFFFFF"/>
      <rgbColor rgb="FFFF0000"/>
      <rgbColor rgb="FF00FF00"/>
      <rgbColor rgb="FF0000FF"/>
      <rgbColor rgb="FFFFFF00"/>
      <rgbColor rgb="FFFF00FF"/>
      <rgbColor rgb="FF00FFFF"/>
      <rgbColor rgb="FF800000"/>
      <rgbColor rgb="FF008000"/>
      <rgbColor rgb="FF000118"/>
      <rgbColor rgb="FF77933C"/>
      <rgbColor rgb="FF800080"/>
      <rgbColor rgb="FF008080"/>
      <rgbColor rgb="FFBFBFBF"/>
      <rgbColor rgb="FF808080"/>
      <rgbColor rgb="FF9999FF"/>
      <rgbColor rgb="FFEE2B76"/>
      <rgbColor rgb="FFFCD5B5"/>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CE6F2"/>
      <rgbColor rgb="FFD7E4BD"/>
      <rgbColor rgb="FFC3D69B"/>
      <rgbColor rgb="FF93CDDD"/>
      <rgbColor rgb="FFFF99CC"/>
      <rgbColor rgb="FFB7DEE8"/>
      <rgbColor rgb="FFFAC090"/>
      <rgbColor rgb="FF3366FF"/>
      <rgbColor rgb="FF00B0F0"/>
      <rgbColor rgb="FF92D050"/>
      <rgbColor rgb="FFFFCC00"/>
      <rgbColor rgb="FFFF9900"/>
      <rgbColor rgb="FFE46C0A"/>
      <rgbColor rgb="FF376092"/>
      <rgbColor rgb="FFA6A6A6"/>
      <rgbColor rgb="FF003366"/>
      <rgbColor rgb="FF31859C"/>
      <rgbColor rgb="FF202124"/>
      <rgbColor rgb="FF282829"/>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7933C"/>
    <pageSetUpPr fitToPage="false"/>
  </sheetPr>
  <dimension ref="B2: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5" zeroHeight="false" outlineLevelRow="0" outlineLevelCol="0"/>
  <cols>
    <col collapsed="false" customWidth="true" hidden="false" outlineLevel="0" max="1" min="1" style="1" width="5.57"/>
    <col collapsed="false" customWidth="true" hidden="false" outlineLevel="0" max="2" min="2" style="1" width="8"/>
    <col collapsed="false" customWidth="true" hidden="false" outlineLevel="0" max="3" min="3" style="1" width="25.29"/>
    <col collapsed="false" customWidth="true" hidden="false" outlineLevel="0" max="4" min="4" style="1" width="107"/>
  </cols>
  <sheetData>
    <row r="2" customFormat="false" ht="15" hidden="false" customHeight="false" outlineLevel="0" collapsed="false">
      <c r="B2" s="2" t="s">
        <v>0</v>
      </c>
      <c r="C2" s="2" t="s">
        <v>1</v>
      </c>
      <c r="D2" s="2" t="s">
        <v>2</v>
      </c>
    </row>
    <row r="3" customFormat="false" ht="15" hidden="false" customHeight="false" outlineLevel="0" collapsed="false">
      <c r="B3" s="3" t="n">
        <v>1</v>
      </c>
      <c r="C3" s="4" t="n">
        <v>1</v>
      </c>
      <c r="D3" s="5" t="s">
        <v>3</v>
      </c>
    </row>
    <row r="4" customFormat="false" ht="15" hidden="false" customHeight="false" outlineLevel="0" collapsed="false">
      <c r="B4" s="6" t="n">
        <v>2</v>
      </c>
      <c r="C4" s="4" t="n">
        <v>1.1</v>
      </c>
      <c r="D4" s="5" t="s">
        <v>4</v>
      </c>
    </row>
    <row r="5" customFormat="false" ht="15" hidden="false" customHeight="false" outlineLevel="0" collapsed="false">
      <c r="B5" s="6" t="n">
        <v>3</v>
      </c>
      <c r="C5" s="4" t="n">
        <v>2</v>
      </c>
      <c r="D5" s="5" t="s">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8.6796875" defaultRowHeight="15" zeroHeight="false" outlineLevelRow="0" outlineLevelCol="0"/>
  <cols>
    <col collapsed="false" customWidth="true" hidden="false" outlineLevel="0" max="1" min="1" style="1" width="5.57"/>
    <col collapsed="false" customWidth="true" hidden="false" outlineLevel="0" max="2" min="2" style="1" width="8"/>
    <col collapsed="false" customWidth="true" hidden="false" outlineLevel="0" max="3" min="3" style="1" width="25.29"/>
    <col collapsed="false" customWidth="true" hidden="false" outlineLevel="0" max="4" min="4" style="1" width="107"/>
  </cols>
  <sheetData>
    <row r="2" customFormat="false" ht="15" hidden="false" customHeight="false" outlineLevel="0" collapsed="false">
      <c r="B2" s="2" t="s">
        <v>0</v>
      </c>
      <c r="C2" s="2" t="s">
        <v>6</v>
      </c>
      <c r="D2" s="2" t="s">
        <v>2</v>
      </c>
    </row>
    <row r="3" customFormat="false" ht="15" hidden="false" customHeight="false" outlineLevel="0" collapsed="false">
      <c r="B3" s="6" t="n">
        <v>1</v>
      </c>
      <c r="C3" s="7" t="s">
        <v>7</v>
      </c>
      <c r="D3" s="5" t="s">
        <v>8</v>
      </c>
    </row>
    <row r="4" customFormat="false" ht="15" hidden="false" customHeight="false" outlineLevel="0" collapsed="false">
      <c r="B4" s="6" t="n">
        <v>2</v>
      </c>
      <c r="C4" s="7" t="s">
        <v>9</v>
      </c>
      <c r="D4" s="5" t="s">
        <v>10</v>
      </c>
    </row>
    <row r="5" customFormat="false" ht="15" hidden="false" customHeight="false" outlineLevel="0" collapsed="false">
      <c r="B5" s="6" t="n">
        <v>3</v>
      </c>
      <c r="C5" s="7" t="s">
        <v>11</v>
      </c>
      <c r="D5" s="5" t="s">
        <v>12</v>
      </c>
    </row>
    <row r="6" customFormat="false" ht="15" hidden="false" customHeight="false" outlineLevel="0" collapsed="false">
      <c r="B6" s="6" t="n">
        <v>4</v>
      </c>
      <c r="C6" s="7" t="s">
        <v>13</v>
      </c>
      <c r="D6" s="5" t="s">
        <v>14</v>
      </c>
    </row>
    <row r="7" customFormat="false" ht="15" hidden="false" customHeight="false" outlineLevel="0" collapsed="false">
      <c r="B7" s="6" t="n">
        <v>5</v>
      </c>
      <c r="C7" s="7" t="s">
        <v>15</v>
      </c>
      <c r="D7" s="5" t="s">
        <v>16</v>
      </c>
    </row>
    <row r="8" customFormat="false" ht="15" hidden="false" customHeight="false" outlineLevel="0" collapsed="false">
      <c r="B8" s="6" t="n">
        <v>6</v>
      </c>
      <c r="C8" s="7" t="s">
        <v>17</v>
      </c>
      <c r="D8" s="5" t="s">
        <v>18</v>
      </c>
    </row>
    <row r="9" customFormat="false" ht="15" hidden="false" customHeight="false" outlineLevel="0" collapsed="false">
      <c r="B9" s="6" t="n">
        <v>7</v>
      </c>
      <c r="C9" s="7" t="s">
        <v>19</v>
      </c>
      <c r="D9" s="5" t="s">
        <v>20</v>
      </c>
    </row>
    <row r="10" customFormat="false" ht="15" hidden="false" customHeight="false" outlineLevel="0" collapsed="false">
      <c r="B10" s="6" t="n">
        <v>8</v>
      </c>
      <c r="C10" s="7" t="s">
        <v>21</v>
      </c>
      <c r="D10" s="8" t="s">
        <v>22</v>
      </c>
    </row>
    <row r="11" customFormat="false" ht="15" hidden="false" customHeight="false" outlineLevel="0" collapsed="false">
      <c r="B11" s="6" t="n">
        <v>9</v>
      </c>
      <c r="C11" s="7" t="s">
        <v>23</v>
      </c>
      <c r="D11" s="8" t="s">
        <v>24</v>
      </c>
    </row>
    <row r="12" customFormat="false" ht="15" hidden="false" customHeight="false" outlineLevel="0" collapsed="false">
      <c r="B12" s="6" t="n">
        <v>10</v>
      </c>
      <c r="C12" s="7" t="s">
        <v>25</v>
      </c>
      <c r="D12" s="8" t="s">
        <v>26</v>
      </c>
    </row>
    <row r="13" customFormat="false" ht="15" hidden="false" customHeight="false" outlineLevel="0" collapsed="false">
      <c r="B13" s="6" t="n">
        <v>11</v>
      </c>
      <c r="C13" s="7" t="s">
        <v>27</v>
      </c>
      <c r="D13" s="8" t="s">
        <v>28</v>
      </c>
    </row>
    <row r="14" customFormat="false" ht="15" hidden="false" customHeight="false" outlineLevel="0" collapsed="false">
      <c r="B14" s="6" t="n">
        <v>12</v>
      </c>
      <c r="C14" s="7" t="s">
        <v>29</v>
      </c>
      <c r="D14" s="8" t="s">
        <v>30</v>
      </c>
    </row>
    <row r="15" customFormat="false" ht="15" hidden="false" customHeight="false" outlineLevel="0" collapsed="false">
      <c r="B15" s="6" t="n">
        <v>13</v>
      </c>
      <c r="C15" s="7" t="s">
        <v>31</v>
      </c>
      <c r="D15" s="8" t="s">
        <v>32</v>
      </c>
    </row>
  </sheetData>
  <sheetProtection algorithmName="SHA-512" hashValue="w6im9ytSK/YS8g8CIUKFRtE4bdnQPJKx2aPnp498LESCegX5iVwmHJi+07X9QBn7wNXJM5pCkdPO1XbHlRMJRQ==" saltValue="f49ZRXYLOhntrqRe12FaLQ==" spinCount="100000" sheet="true" objects="true" scenarios="true"/>
  <hyperlinks>
    <hyperlink ref="C3" location="Instructions!A1" display="Instructions"/>
    <hyperlink ref="C4" location="CustomerVolumes!A1" display="Customer Volumes"/>
    <hyperlink ref="C5" location="PerHourVolumes!A1" display="Per Hour Volumes"/>
    <hyperlink ref="C6" location="Calculation!A1" display="Services Calculation"/>
    <hyperlink ref="C7" location="'Datasize-Parameters'!A1" display="Datasize-Parameters"/>
    <hyperlink ref="C8" location="'Data size'!A1" display="Data size"/>
    <hyperlink ref="C9" location="'DMS DISK SIZE'!A1" display="DMS size"/>
    <hyperlink ref="C10" location="'Server size'!A1" display="Server size"/>
    <hyperlink ref="C11" location="'Bandwidth Calculator'!A1" display="Bandwidth Calculator"/>
    <hyperlink ref="C12" location="'Additional inputs'!A1" display="Additional Inputs"/>
    <hyperlink ref="C13" location="'ASSUMPTION-ONPREMISE'!A1" display="On-Prem Assumptions"/>
    <hyperlink ref="C14" location="'ASSUMPTION-CLOUD'!A1" display="Cloud Assumptions"/>
    <hyperlink ref="C15" location="'ASSUMPTION - MANAGED CLOUD'!A1" display="SaaS Assumption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4" activeCellId="0" sqref="D14"/>
    </sheetView>
  </sheetViews>
  <sheetFormatPr defaultColWidth="8.6796875" defaultRowHeight="15" zeroHeight="false" outlineLevelRow="0" outlineLevelCol="0"/>
  <cols>
    <col collapsed="false" customWidth="true" hidden="false" outlineLevel="0" max="1" min="1" style="1" width="3.42"/>
    <col collapsed="false" customWidth="true" hidden="false" outlineLevel="0" max="2" min="2" style="1" width="15.71"/>
    <col collapsed="false" customWidth="true" hidden="false" outlineLevel="0" max="3" min="3" style="9" width="23.29"/>
    <col collapsed="false" customWidth="true" hidden="false" outlineLevel="0" max="4" min="4" style="9" width="70.71"/>
  </cols>
  <sheetData>
    <row r="1" customFormat="false" ht="15" hidden="false" customHeight="false" outlineLevel="0" collapsed="false">
      <c r="A1" s="10"/>
      <c r="B1" s="10"/>
      <c r="C1" s="11"/>
      <c r="D1" s="11"/>
      <c r="E1" s="10"/>
      <c r="F1" s="10"/>
      <c r="G1" s="12"/>
      <c r="H1" s="12"/>
      <c r="I1" s="12"/>
      <c r="J1" s="12"/>
      <c r="K1" s="12"/>
      <c r="L1" s="12"/>
      <c r="M1" s="12"/>
      <c r="N1" s="12"/>
      <c r="O1" s="12"/>
    </row>
    <row r="2" customFormat="false" ht="18.75" hidden="false" customHeight="true" outlineLevel="0" collapsed="false">
      <c r="A2" s="10"/>
      <c r="B2" s="13" t="s">
        <v>33</v>
      </c>
      <c r="C2" s="13"/>
      <c r="D2" s="13"/>
      <c r="E2" s="10"/>
      <c r="F2" s="10"/>
      <c r="G2" s="12"/>
      <c r="H2" s="12"/>
      <c r="I2" s="12"/>
      <c r="J2" s="12"/>
      <c r="K2" s="12"/>
      <c r="L2" s="12"/>
      <c r="M2" s="12"/>
      <c r="N2" s="12"/>
      <c r="O2" s="12"/>
    </row>
    <row r="3" customFormat="false" ht="15" hidden="false" customHeight="true" outlineLevel="0" collapsed="false">
      <c r="A3" s="10"/>
      <c r="B3" s="14" t="s">
        <v>34</v>
      </c>
      <c r="C3" s="14"/>
      <c r="D3" s="14"/>
      <c r="E3" s="10"/>
      <c r="F3" s="10"/>
      <c r="G3" s="12"/>
      <c r="H3" s="12"/>
      <c r="I3" s="12"/>
      <c r="J3" s="12"/>
      <c r="K3" s="12"/>
      <c r="L3" s="12"/>
      <c r="M3" s="12"/>
      <c r="N3" s="12"/>
      <c r="O3" s="12"/>
    </row>
    <row r="4" customFormat="false" ht="15" hidden="false" customHeight="true" outlineLevel="0" collapsed="false">
      <c r="A4" s="10"/>
      <c r="B4" s="14"/>
      <c r="C4" s="14"/>
      <c r="D4" s="14"/>
      <c r="E4" s="10"/>
      <c r="F4" s="10"/>
      <c r="G4" s="12"/>
      <c r="H4" s="12"/>
      <c r="I4" s="12"/>
      <c r="J4" s="12"/>
      <c r="K4" s="12"/>
      <c r="L4" s="12"/>
      <c r="M4" s="12"/>
      <c r="N4" s="12"/>
      <c r="O4" s="12"/>
    </row>
    <row r="5" customFormat="false" ht="15.75" hidden="false" customHeight="true" outlineLevel="0" collapsed="false">
      <c r="A5" s="10"/>
      <c r="B5" s="14"/>
      <c r="C5" s="14"/>
      <c r="D5" s="14"/>
      <c r="E5" s="10"/>
      <c r="F5" s="10"/>
      <c r="G5" s="12"/>
      <c r="H5" s="12"/>
      <c r="I5" s="12"/>
      <c r="J5" s="12"/>
      <c r="K5" s="12"/>
      <c r="L5" s="12"/>
      <c r="M5" s="12"/>
      <c r="N5" s="12"/>
      <c r="O5" s="12"/>
    </row>
    <row r="6" customFormat="false" ht="15" hidden="false" customHeight="false" outlineLevel="0" collapsed="false">
      <c r="A6" s="10"/>
      <c r="B6" s="14"/>
      <c r="C6" s="14"/>
      <c r="D6" s="14"/>
      <c r="E6" s="10"/>
      <c r="F6" s="10"/>
      <c r="G6" s="12"/>
      <c r="H6" s="12"/>
      <c r="I6" s="12"/>
      <c r="J6" s="12"/>
      <c r="K6" s="12"/>
      <c r="L6" s="12"/>
      <c r="M6" s="12"/>
      <c r="N6" s="12"/>
      <c r="O6" s="12"/>
    </row>
    <row r="7" customFormat="false" ht="15" hidden="false" customHeight="false" outlineLevel="0" collapsed="false">
      <c r="A7" s="10"/>
      <c r="B7" s="15"/>
      <c r="C7" s="16"/>
      <c r="D7" s="17"/>
      <c r="E7" s="10"/>
      <c r="F7" s="10"/>
      <c r="G7" s="12"/>
      <c r="H7" s="12"/>
      <c r="I7" s="12"/>
      <c r="J7" s="12"/>
      <c r="K7" s="12"/>
      <c r="L7" s="12"/>
      <c r="M7" s="12"/>
      <c r="N7" s="12"/>
      <c r="O7" s="12"/>
    </row>
    <row r="8" customFormat="false" ht="15" hidden="false" customHeight="false" outlineLevel="0" collapsed="false">
      <c r="A8" s="10"/>
      <c r="B8" s="18" t="s">
        <v>6</v>
      </c>
      <c r="C8" s="19" t="s">
        <v>35</v>
      </c>
      <c r="D8" s="20" t="s">
        <v>2</v>
      </c>
      <c r="E8" s="10"/>
      <c r="F8" s="10"/>
      <c r="G8" s="12"/>
      <c r="H8" s="12"/>
      <c r="I8" s="12"/>
      <c r="J8" s="12"/>
      <c r="K8" s="12"/>
      <c r="L8" s="12"/>
      <c r="M8" s="12"/>
      <c r="N8" s="12"/>
      <c r="O8" s="12"/>
    </row>
    <row r="9" customFormat="false" ht="15" hidden="false" customHeight="false" outlineLevel="0" collapsed="false">
      <c r="A9" s="10"/>
      <c r="B9" s="21" t="s">
        <v>36</v>
      </c>
      <c r="C9" s="22" t="s">
        <v>37</v>
      </c>
      <c r="D9" s="23" t="s">
        <v>38</v>
      </c>
      <c r="E9" s="10"/>
      <c r="F9" s="10"/>
      <c r="G9" s="12"/>
      <c r="H9" s="12"/>
      <c r="I9" s="12"/>
      <c r="J9" s="12"/>
      <c r="K9" s="12"/>
      <c r="L9" s="12"/>
      <c r="M9" s="12"/>
      <c r="N9" s="12"/>
      <c r="O9" s="12"/>
    </row>
    <row r="10" customFormat="false" ht="15" hidden="false" customHeight="false" outlineLevel="0" collapsed="false">
      <c r="A10" s="10"/>
      <c r="B10" s="21"/>
      <c r="C10" s="22" t="s">
        <v>39</v>
      </c>
      <c r="D10" s="23" t="s">
        <v>40</v>
      </c>
      <c r="E10" s="10"/>
      <c r="F10" s="10"/>
      <c r="G10" s="12"/>
      <c r="H10" s="12"/>
      <c r="I10" s="12"/>
      <c r="J10" s="12"/>
      <c r="K10" s="12"/>
      <c r="L10" s="12"/>
      <c r="M10" s="12"/>
      <c r="N10" s="12"/>
      <c r="O10" s="12"/>
    </row>
    <row r="11" customFormat="false" ht="15" hidden="false" customHeight="false" outlineLevel="0" collapsed="false">
      <c r="A11" s="10"/>
      <c r="B11" s="21"/>
      <c r="C11" s="24" t="s">
        <v>41</v>
      </c>
      <c r="D11" s="25" t="s">
        <v>42</v>
      </c>
      <c r="E11" s="10"/>
      <c r="F11" s="10"/>
      <c r="G11" s="12"/>
      <c r="H11" s="12"/>
      <c r="I11" s="12"/>
      <c r="J11" s="12"/>
      <c r="K11" s="12"/>
      <c r="L11" s="12"/>
      <c r="M11" s="12"/>
      <c r="N11" s="12"/>
      <c r="O11" s="12"/>
    </row>
    <row r="12" s="9" customFormat="true" ht="15" hidden="false" customHeight="false" outlineLevel="0" collapsed="false">
      <c r="A12" s="11"/>
      <c r="B12" s="21"/>
      <c r="C12" s="26" t="s">
        <v>43</v>
      </c>
      <c r="D12" s="27" t="s">
        <v>44</v>
      </c>
      <c r="E12" s="11"/>
      <c r="F12" s="11"/>
      <c r="G12" s="28"/>
      <c r="H12" s="28"/>
      <c r="I12" s="28"/>
      <c r="J12" s="28"/>
      <c r="K12" s="28"/>
      <c r="L12" s="28"/>
      <c r="M12" s="28"/>
      <c r="N12" s="28"/>
      <c r="O12" s="28"/>
    </row>
    <row r="13" customFormat="false" ht="15" hidden="false" customHeight="true" outlineLevel="0" collapsed="false">
      <c r="A13" s="10"/>
      <c r="B13" s="29" t="s">
        <v>45</v>
      </c>
      <c r="C13" s="22" t="s">
        <v>46</v>
      </c>
      <c r="D13" s="27" t="s">
        <v>47</v>
      </c>
      <c r="E13" s="10"/>
      <c r="F13" s="10"/>
      <c r="G13" s="12"/>
      <c r="H13" s="12"/>
      <c r="I13" s="12"/>
      <c r="J13" s="12"/>
      <c r="K13" s="12"/>
      <c r="L13" s="12"/>
      <c r="M13" s="12"/>
      <c r="N13" s="12"/>
      <c r="O13" s="12"/>
    </row>
    <row r="14" customFormat="false" ht="15" hidden="false" customHeight="false" outlineLevel="0" collapsed="false">
      <c r="A14" s="10"/>
      <c r="B14" s="29"/>
      <c r="C14" s="22"/>
      <c r="D14" s="30" t="s">
        <v>48</v>
      </c>
      <c r="E14" s="10"/>
      <c r="F14" s="10"/>
      <c r="G14" s="12"/>
      <c r="H14" s="12"/>
      <c r="I14" s="12"/>
      <c r="J14" s="12"/>
      <c r="K14" s="12"/>
      <c r="L14" s="12"/>
      <c r="M14" s="12"/>
      <c r="N14" s="12"/>
      <c r="O14" s="12"/>
    </row>
    <row r="15" customFormat="false" ht="15" hidden="false" customHeight="false" outlineLevel="0" collapsed="false">
      <c r="A15" s="10"/>
      <c r="B15" s="29"/>
      <c r="C15" s="22"/>
      <c r="D15" s="30" t="s">
        <v>49</v>
      </c>
      <c r="E15" s="10"/>
      <c r="F15" s="10"/>
      <c r="G15" s="12"/>
      <c r="H15" s="12"/>
      <c r="I15" s="12"/>
      <c r="J15" s="12"/>
      <c r="K15" s="12"/>
      <c r="L15" s="12"/>
      <c r="M15" s="12"/>
      <c r="N15" s="12"/>
      <c r="O15" s="12"/>
    </row>
    <row r="16" customFormat="false" ht="15" hidden="false" customHeight="false" outlineLevel="0" collapsed="false">
      <c r="A16" s="10"/>
      <c r="B16" s="29"/>
      <c r="C16" s="22"/>
      <c r="D16" s="31" t="s">
        <v>50</v>
      </c>
      <c r="E16" s="10"/>
      <c r="F16" s="10"/>
      <c r="G16" s="12"/>
      <c r="H16" s="12"/>
      <c r="I16" s="12"/>
      <c r="J16" s="12"/>
      <c r="K16" s="12"/>
      <c r="L16" s="12"/>
      <c r="M16" s="12"/>
      <c r="N16" s="12"/>
      <c r="O16" s="12"/>
    </row>
    <row r="17" customFormat="false" ht="15" hidden="false" customHeight="false" outlineLevel="0" collapsed="false">
      <c r="A17" s="10"/>
      <c r="B17" s="29"/>
      <c r="C17" s="32" t="s">
        <v>51</v>
      </c>
      <c r="D17" s="25" t="s">
        <v>52</v>
      </c>
      <c r="E17" s="10"/>
      <c r="F17" s="10"/>
      <c r="G17" s="12"/>
      <c r="H17" s="12"/>
      <c r="I17" s="12"/>
      <c r="J17" s="12"/>
      <c r="K17" s="12"/>
      <c r="L17" s="12"/>
      <c r="M17" s="12"/>
      <c r="N17" s="12"/>
      <c r="O17" s="12"/>
    </row>
    <row r="18" customFormat="false" ht="25.5" hidden="false" customHeight="true" outlineLevel="0" collapsed="false">
      <c r="A18" s="10"/>
      <c r="B18" s="29"/>
      <c r="C18" s="22" t="s">
        <v>53</v>
      </c>
      <c r="D18" s="27" t="s">
        <v>54</v>
      </c>
      <c r="E18" s="10"/>
      <c r="F18" s="10"/>
      <c r="G18" s="12"/>
      <c r="H18" s="12"/>
      <c r="I18" s="12"/>
      <c r="J18" s="12"/>
      <c r="K18" s="12"/>
      <c r="L18" s="12"/>
      <c r="M18" s="12"/>
      <c r="N18" s="12"/>
      <c r="O18" s="12"/>
    </row>
    <row r="19" customFormat="false" ht="15" hidden="false" customHeight="false" outlineLevel="0" collapsed="false">
      <c r="A19" s="10"/>
      <c r="B19" s="29"/>
      <c r="C19" s="22"/>
      <c r="D19" s="30" t="s">
        <v>55</v>
      </c>
      <c r="E19" s="10"/>
      <c r="F19" s="10"/>
      <c r="G19" s="12"/>
      <c r="H19" s="12"/>
      <c r="I19" s="12"/>
      <c r="J19" s="12"/>
      <c r="K19" s="12"/>
      <c r="L19" s="12"/>
      <c r="M19" s="12"/>
      <c r="N19" s="12"/>
      <c r="O19" s="12"/>
    </row>
    <row r="20" customFormat="false" ht="23.85" hidden="false" customHeight="false" outlineLevel="0" collapsed="false">
      <c r="A20" s="10"/>
      <c r="B20" s="29"/>
      <c r="C20" s="22"/>
      <c r="D20" s="31" t="s">
        <v>56</v>
      </c>
      <c r="E20" s="10"/>
      <c r="F20" s="10"/>
      <c r="G20" s="12"/>
      <c r="H20" s="12"/>
      <c r="I20" s="12"/>
      <c r="J20" s="12"/>
      <c r="K20" s="12"/>
      <c r="L20" s="12"/>
      <c r="M20" s="12"/>
      <c r="N20" s="12"/>
      <c r="O20" s="12"/>
    </row>
    <row r="21" customFormat="false" ht="23.85" hidden="false" customHeight="false" outlineLevel="0" collapsed="false">
      <c r="A21" s="10"/>
      <c r="B21" s="21" t="s">
        <v>57</v>
      </c>
      <c r="C21" s="33" t="s">
        <v>58</v>
      </c>
      <c r="D21" s="34" t="s">
        <v>59</v>
      </c>
      <c r="E21" s="10"/>
      <c r="F21" s="10"/>
      <c r="G21" s="12"/>
      <c r="H21" s="12"/>
      <c r="I21" s="12"/>
      <c r="J21" s="12"/>
      <c r="K21" s="12"/>
      <c r="L21" s="12"/>
      <c r="M21" s="12"/>
      <c r="N21" s="12"/>
      <c r="O21" s="12"/>
    </row>
    <row r="22" customFormat="false" ht="23.85" hidden="false" customHeight="false" outlineLevel="0" collapsed="false">
      <c r="A22" s="10"/>
      <c r="B22" s="21" t="s">
        <v>60</v>
      </c>
      <c r="C22" s="33" t="s">
        <v>58</v>
      </c>
      <c r="D22" s="34" t="s">
        <v>61</v>
      </c>
      <c r="E22" s="10"/>
      <c r="F22" s="10"/>
      <c r="G22" s="12"/>
      <c r="H22" s="12"/>
      <c r="I22" s="12"/>
      <c r="J22" s="12"/>
      <c r="K22" s="12"/>
      <c r="L22" s="12"/>
      <c r="M22" s="12"/>
      <c r="N22" s="12"/>
      <c r="O22" s="12"/>
    </row>
    <row r="23" customFormat="false" ht="23.85" hidden="false" customHeight="false" outlineLevel="0" collapsed="false">
      <c r="A23" s="10"/>
      <c r="B23" s="21" t="s">
        <v>62</v>
      </c>
      <c r="C23" s="33" t="s">
        <v>58</v>
      </c>
      <c r="D23" s="35" t="s">
        <v>63</v>
      </c>
      <c r="E23" s="10"/>
      <c r="F23" s="10"/>
      <c r="G23" s="12"/>
      <c r="H23" s="12"/>
      <c r="I23" s="12"/>
      <c r="J23" s="12"/>
      <c r="K23" s="12"/>
      <c r="L23" s="12"/>
      <c r="M23" s="12"/>
      <c r="N23" s="12"/>
      <c r="O23" s="12"/>
    </row>
    <row r="24" customFormat="false" ht="23.85" hidden="false" customHeight="false" outlineLevel="0" collapsed="false">
      <c r="A24" s="10"/>
      <c r="B24" s="36" t="s">
        <v>23</v>
      </c>
      <c r="C24" s="33" t="s">
        <v>64</v>
      </c>
      <c r="D24" s="35" t="s">
        <v>65</v>
      </c>
      <c r="E24" s="10"/>
      <c r="F24" s="10"/>
      <c r="G24" s="12"/>
      <c r="H24" s="12"/>
      <c r="I24" s="12"/>
      <c r="J24" s="12"/>
      <c r="K24" s="12"/>
      <c r="L24" s="12"/>
      <c r="M24" s="12"/>
      <c r="N24" s="12"/>
      <c r="O24" s="12"/>
    </row>
    <row r="25" customFormat="false" ht="23.85" hidden="false" customHeight="true" outlineLevel="0" collapsed="false">
      <c r="A25" s="10"/>
      <c r="B25" s="36" t="s">
        <v>66</v>
      </c>
      <c r="C25" s="37" t="s">
        <v>67</v>
      </c>
      <c r="D25" s="37"/>
      <c r="E25" s="10"/>
      <c r="F25" s="10"/>
      <c r="G25" s="12"/>
      <c r="H25" s="12"/>
      <c r="I25" s="12"/>
      <c r="J25" s="12"/>
      <c r="K25" s="12"/>
      <c r="L25" s="12"/>
      <c r="M25" s="12"/>
      <c r="N25" s="12"/>
      <c r="O25" s="12"/>
    </row>
    <row r="26" customFormat="false" ht="15" hidden="false" customHeight="false" outlineLevel="0" collapsed="false">
      <c r="A26" s="12"/>
      <c r="B26" s="12"/>
      <c r="C26" s="28"/>
      <c r="D26" s="28"/>
      <c r="E26" s="12"/>
      <c r="F26" s="12"/>
      <c r="G26" s="12"/>
      <c r="H26" s="12"/>
      <c r="I26" s="12"/>
      <c r="J26" s="12"/>
      <c r="K26" s="12"/>
      <c r="L26" s="12"/>
      <c r="M26" s="12"/>
      <c r="N26" s="12"/>
      <c r="O26" s="12"/>
    </row>
    <row r="27" customFormat="false" ht="15" hidden="false" customHeight="false" outlineLevel="0" collapsed="false">
      <c r="A27" s="12"/>
      <c r="B27" s="12"/>
      <c r="C27" s="28"/>
      <c r="D27" s="28"/>
      <c r="E27" s="12"/>
      <c r="F27" s="12"/>
      <c r="G27" s="12"/>
      <c r="H27" s="12"/>
      <c r="I27" s="12"/>
      <c r="J27" s="12"/>
      <c r="K27" s="12"/>
      <c r="L27" s="12"/>
      <c r="M27" s="12"/>
      <c r="N27" s="12"/>
      <c r="O27" s="12"/>
    </row>
    <row r="28" customFormat="false" ht="15" hidden="false" customHeight="false" outlineLevel="0" collapsed="false">
      <c r="A28" s="12"/>
      <c r="B28" s="12"/>
      <c r="C28" s="28"/>
      <c r="D28" s="28"/>
      <c r="E28" s="12"/>
      <c r="F28" s="12"/>
      <c r="G28" s="12"/>
      <c r="H28" s="12"/>
      <c r="I28" s="12"/>
      <c r="J28" s="12"/>
      <c r="K28" s="12"/>
      <c r="L28" s="12"/>
      <c r="M28" s="12"/>
      <c r="N28" s="12"/>
      <c r="O28" s="12"/>
    </row>
    <row r="29" customFormat="false" ht="15" hidden="false" customHeight="false" outlineLevel="0" collapsed="false">
      <c r="A29" s="12"/>
      <c r="B29" s="12"/>
      <c r="C29" s="28"/>
      <c r="D29" s="28"/>
      <c r="E29" s="12"/>
      <c r="F29" s="12"/>
      <c r="G29" s="12"/>
      <c r="H29" s="12"/>
      <c r="I29" s="12"/>
      <c r="J29" s="12"/>
      <c r="K29" s="12"/>
      <c r="L29" s="12"/>
      <c r="M29" s="12"/>
      <c r="N29" s="12"/>
      <c r="O29" s="12"/>
    </row>
    <row r="30" customFormat="false" ht="15" hidden="false" customHeight="false" outlineLevel="0" collapsed="false">
      <c r="A30" s="12"/>
      <c r="B30" s="12"/>
      <c r="C30" s="28"/>
      <c r="D30" s="28"/>
      <c r="E30" s="12"/>
      <c r="F30" s="12"/>
      <c r="G30" s="12"/>
      <c r="H30" s="12"/>
      <c r="I30" s="12"/>
      <c r="J30" s="12"/>
      <c r="K30" s="12"/>
      <c r="L30" s="12"/>
      <c r="M30" s="12"/>
      <c r="N30" s="12"/>
      <c r="O30" s="12"/>
    </row>
    <row r="31" customFormat="false" ht="15" hidden="false" customHeight="false" outlineLevel="0" collapsed="false">
      <c r="A31" s="12"/>
      <c r="B31" s="12"/>
      <c r="C31" s="28"/>
      <c r="D31" s="28"/>
      <c r="E31" s="12"/>
      <c r="F31" s="12"/>
      <c r="G31" s="12"/>
      <c r="H31" s="12"/>
      <c r="I31" s="12"/>
      <c r="J31" s="12"/>
      <c r="K31" s="12"/>
      <c r="L31" s="12"/>
      <c r="M31" s="12"/>
      <c r="N31" s="12"/>
      <c r="O31" s="12"/>
    </row>
    <row r="32" customFormat="false" ht="15" hidden="false" customHeight="false" outlineLevel="0" collapsed="false">
      <c r="A32" s="12"/>
      <c r="B32" s="12"/>
      <c r="C32" s="28"/>
      <c r="D32" s="28"/>
      <c r="E32" s="12"/>
      <c r="F32" s="12"/>
      <c r="G32" s="12"/>
      <c r="H32" s="12"/>
      <c r="I32" s="12"/>
      <c r="J32" s="12"/>
      <c r="K32" s="12"/>
      <c r="L32" s="12"/>
      <c r="M32" s="12"/>
      <c r="N32" s="12"/>
      <c r="O32" s="12"/>
    </row>
    <row r="33" customFormat="false" ht="15" hidden="false" customHeight="false" outlineLevel="0" collapsed="false">
      <c r="A33" s="12"/>
      <c r="B33" s="12"/>
      <c r="C33" s="28"/>
      <c r="D33" s="28"/>
      <c r="E33" s="12"/>
      <c r="F33" s="12"/>
      <c r="G33" s="12"/>
      <c r="H33" s="12"/>
      <c r="I33" s="12"/>
      <c r="J33" s="12"/>
      <c r="K33" s="12"/>
      <c r="L33" s="12"/>
      <c r="M33" s="12"/>
      <c r="N33" s="12"/>
      <c r="O33" s="12"/>
    </row>
    <row r="34" customFormat="false" ht="15" hidden="false" customHeight="false" outlineLevel="0" collapsed="false">
      <c r="A34" s="12"/>
      <c r="B34" s="12"/>
      <c r="C34" s="28"/>
      <c r="D34" s="28"/>
      <c r="E34" s="12"/>
      <c r="F34" s="12"/>
      <c r="G34" s="12"/>
      <c r="H34" s="12"/>
      <c r="I34" s="12"/>
      <c r="J34" s="12"/>
      <c r="K34" s="12"/>
      <c r="L34" s="12"/>
      <c r="M34" s="12"/>
      <c r="N34" s="12"/>
      <c r="O34" s="12"/>
    </row>
    <row r="35" customFormat="false" ht="15" hidden="false" customHeight="false" outlineLevel="0" collapsed="false">
      <c r="A35" s="12"/>
      <c r="B35" s="12"/>
      <c r="C35" s="28"/>
      <c r="D35" s="28"/>
      <c r="E35" s="12"/>
      <c r="F35" s="12"/>
      <c r="G35" s="12"/>
      <c r="H35" s="12"/>
      <c r="I35" s="12"/>
      <c r="J35" s="12"/>
      <c r="K35" s="12"/>
      <c r="L35" s="12"/>
      <c r="M35" s="12"/>
      <c r="N35" s="12"/>
      <c r="O35" s="12"/>
    </row>
    <row r="36" customFormat="false" ht="15" hidden="false" customHeight="false" outlineLevel="0" collapsed="false">
      <c r="A36" s="12"/>
      <c r="B36" s="12"/>
      <c r="C36" s="28"/>
      <c r="D36" s="28"/>
      <c r="E36" s="12"/>
      <c r="F36" s="12"/>
      <c r="G36" s="12"/>
      <c r="H36" s="12"/>
      <c r="I36" s="12"/>
      <c r="J36" s="12"/>
      <c r="K36" s="12"/>
      <c r="L36" s="12"/>
      <c r="M36" s="12"/>
      <c r="N36" s="12"/>
      <c r="O36" s="12"/>
    </row>
    <row r="37" customFormat="false" ht="15" hidden="false" customHeight="false" outlineLevel="0" collapsed="false">
      <c r="I37" s="12"/>
      <c r="J37" s="12"/>
      <c r="K37" s="12"/>
      <c r="L37" s="12"/>
      <c r="M37" s="12"/>
      <c r="N37" s="12"/>
      <c r="O37" s="12"/>
    </row>
  </sheetData>
  <sheetProtection algorithmName="SHA-512" hashValue="GyfEdTASFW+vd8N+dEeb8c2gmSkfHtFphujzrJ4Fm+DbOZDCY9wSeCmNnCwbm1NGQl9OBlLWmLO3qTnv9qEYig==" saltValue="sgd3VgRU7k/H8LGjUHkxiA==" spinCount="100000" sheet="true" objects="true" scenarios="true"/>
  <mergeCells count="7">
    <mergeCell ref="B2:D2"/>
    <mergeCell ref="B3:D6"/>
    <mergeCell ref="B9:B12"/>
    <mergeCell ref="B13:B20"/>
    <mergeCell ref="C13:C16"/>
    <mergeCell ref="C18:C20"/>
    <mergeCell ref="C25:D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I20" activeCellId="0" sqref="I20"/>
    </sheetView>
  </sheetViews>
  <sheetFormatPr defaultColWidth="9.00390625" defaultRowHeight="15" zeroHeight="false" outlineLevelRow="0" outlineLevelCol="0"/>
  <cols>
    <col collapsed="false" customWidth="true" hidden="false" outlineLevel="0" max="1" min="1" style="38" width="5.42"/>
    <col collapsed="false" customWidth="true" hidden="false" outlineLevel="0" max="2" min="2" style="38" width="6.14"/>
    <col collapsed="false" customWidth="true" hidden="false" outlineLevel="0" max="3" min="3" style="38" width="47.42"/>
    <col collapsed="false" customWidth="true" hidden="false" outlineLevel="0" max="8" min="4" style="38" width="12.15"/>
    <col collapsed="false" customWidth="true" hidden="false" outlineLevel="0" max="9" min="9" style="38" width="12.42"/>
    <col collapsed="false" customWidth="true" hidden="false" outlineLevel="0" max="10" min="10" style="39" width="16.43"/>
    <col collapsed="false" customWidth="true" hidden="false" outlineLevel="0" max="11" min="11" style="38" width="59.71"/>
    <col collapsed="false" customWidth="false" hidden="false" outlineLevel="0" max="16384" min="12" style="38" width="9"/>
  </cols>
  <sheetData>
    <row r="1" s="44" customFormat="true" ht="24.45" hidden="false" customHeight="false" outlineLevel="0" collapsed="false">
      <c r="A1" s="40" t="s">
        <v>68</v>
      </c>
      <c r="B1" s="40"/>
      <c r="C1" s="40"/>
      <c r="D1" s="40"/>
      <c r="E1" s="40"/>
      <c r="F1" s="40"/>
      <c r="G1" s="40"/>
      <c r="H1" s="40"/>
      <c r="I1" s="40"/>
      <c r="J1" s="40"/>
      <c r="K1" s="41"/>
      <c r="L1" s="41"/>
      <c r="M1" s="41"/>
      <c r="N1" s="41"/>
      <c r="O1" s="41"/>
      <c r="P1" s="41"/>
      <c r="Q1" s="41"/>
      <c r="R1" s="42"/>
      <c r="S1" s="42"/>
      <c r="T1" s="43"/>
      <c r="U1" s="43"/>
      <c r="V1" s="43"/>
      <c r="W1" s="43"/>
    </row>
    <row r="2" customFormat="false" ht="15" hidden="false" customHeight="false" outlineLevel="0" collapsed="false">
      <c r="B2" s="45" t="s">
        <v>69</v>
      </c>
      <c r="C2" s="45" t="s">
        <v>39</v>
      </c>
      <c r="D2" s="45" t="s">
        <v>70</v>
      </c>
      <c r="E2" s="45" t="s">
        <v>71</v>
      </c>
      <c r="F2" s="45" t="s">
        <v>72</v>
      </c>
      <c r="G2" s="45" t="s">
        <v>73</v>
      </c>
      <c r="H2" s="45" t="s">
        <v>74</v>
      </c>
      <c r="I2" s="45" t="s">
        <v>75</v>
      </c>
      <c r="J2" s="45" t="s">
        <v>76</v>
      </c>
      <c r="K2" s="45" t="s">
        <v>77</v>
      </c>
    </row>
    <row r="3" customFormat="false" ht="15" hidden="false" customHeight="false" outlineLevel="0" collapsed="false">
      <c r="B3" s="46" t="n">
        <v>1</v>
      </c>
      <c r="C3" s="47" t="s">
        <v>78</v>
      </c>
      <c r="D3" s="48" t="n">
        <v>15500</v>
      </c>
      <c r="E3" s="49" t="n">
        <f aca="false">D3*(1+I3)</f>
        <v>16275</v>
      </c>
      <c r="F3" s="49" t="n">
        <f aca="false">E3*(1+$I$3)</f>
        <v>17088.75</v>
      </c>
      <c r="G3" s="49" t="n">
        <f aca="false">F3*(1+$I$3)</f>
        <v>17943.1875</v>
      </c>
      <c r="H3" s="49" t="n">
        <f aca="false">G3*(1+$I$3)</f>
        <v>18840.346875</v>
      </c>
      <c r="I3" s="50" t="n">
        <v>0.05</v>
      </c>
      <c r="J3" s="51" t="s">
        <v>79</v>
      </c>
      <c r="K3" s="52"/>
    </row>
    <row r="4" customFormat="false" ht="15" hidden="false" customHeight="false" outlineLevel="0" collapsed="false">
      <c r="B4" s="46" t="n">
        <v>2</v>
      </c>
      <c r="C4" s="47" t="s">
        <v>80</v>
      </c>
      <c r="D4" s="48" t="n">
        <f aca="false">D3*0.3</f>
        <v>4650</v>
      </c>
      <c r="E4" s="53" t="n">
        <f aca="false">E3*0.3</f>
        <v>4882.5</v>
      </c>
      <c r="F4" s="53" t="n">
        <f aca="false">F3*0.3</f>
        <v>5126.625</v>
      </c>
      <c r="G4" s="53" t="n">
        <f aca="false">G3*0.3</f>
        <v>5382.95625</v>
      </c>
      <c r="H4" s="53" t="n">
        <f aca="false">H3*0.3</f>
        <v>5652.1040625</v>
      </c>
      <c r="I4" s="50" t="n">
        <v>0.05</v>
      </c>
      <c r="J4" s="51" t="s">
        <v>79</v>
      </c>
      <c r="K4" s="52"/>
    </row>
    <row r="5" customFormat="false" ht="15" hidden="false" customHeight="false" outlineLevel="0" collapsed="false">
      <c r="B5" s="46" t="n">
        <v>3</v>
      </c>
      <c r="C5" s="54" t="s">
        <v>81</v>
      </c>
      <c r="D5" s="55" t="n">
        <v>25786541</v>
      </c>
      <c r="E5" s="56" t="n">
        <f aca="false">D5*(1+I5)</f>
        <v>28365195.1</v>
      </c>
      <c r="F5" s="56" t="n">
        <f aca="false">E5*(1+I5)</f>
        <v>31201714.61</v>
      </c>
      <c r="G5" s="56" t="n">
        <f aca="false">F5*(1+I5)</f>
        <v>34321886.071</v>
      </c>
      <c r="H5" s="56" t="n">
        <f aca="false">G5*(1+I5)</f>
        <v>37754074.6781</v>
      </c>
      <c r="I5" s="50" t="n">
        <v>0.1</v>
      </c>
      <c r="J5" s="51" t="s">
        <v>79</v>
      </c>
      <c r="K5" s="52"/>
    </row>
    <row r="6" customFormat="false" ht="15" hidden="false" customHeight="false" outlineLevel="0" collapsed="false">
      <c r="B6" s="46" t="n">
        <v>4</v>
      </c>
      <c r="C6" s="57" t="s">
        <v>82</v>
      </c>
      <c r="D6" s="58" t="n">
        <v>2</v>
      </c>
      <c r="E6" s="59" t="n">
        <v>2</v>
      </c>
      <c r="F6" s="59" t="n">
        <v>2</v>
      </c>
      <c r="G6" s="59" t="n">
        <v>2</v>
      </c>
      <c r="H6" s="53" t="n">
        <v>2</v>
      </c>
      <c r="I6" s="50"/>
      <c r="J6" s="51" t="s">
        <v>79</v>
      </c>
      <c r="K6" s="52" t="s">
        <v>83</v>
      </c>
    </row>
    <row r="7" customFormat="false" ht="15" hidden="false" customHeight="false" outlineLevel="0" collapsed="false">
      <c r="B7" s="46" t="n">
        <v>5</v>
      </c>
      <c r="C7" s="47" t="s">
        <v>84</v>
      </c>
      <c r="D7" s="48" t="n">
        <v>10700000</v>
      </c>
      <c r="E7" s="53" t="n">
        <f aca="false">D7*(1+I7)</f>
        <v>11770000</v>
      </c>
      <c r="F7" s="53" t="n">
        <f aca="false">E7*(1+I7)</f>
        <v>12947000</v>
      </c>
      <c r="G7" s="53" t="n">
        <f aca="false">F7*(1+I7)</f>
        <v>14241700</v>
      </c>
      <c r="H7" s="53" t="n">
        <f aca="false">G7*(1+I7)</f>
        <v>15665870</v>
      </c>
      <c r="I7" s="50" t="n">
        <v>0.1</v>
      </c>
      <c r="J7" s="51" t="s">
        <v>79</v>
      </c>
      <c r="K7" s="52"/>
    </row>
    <row r="8" customFormat="false" ht="15" hidden="false" customHeight="false" outlineLevel="0" collapsed="false">
      <c r="B8" s="46" t="n">
        <v>6</v>
      </c>
      <c r="C8" s="47" t="s">
        <v>85</v>
      </c>
      <c r="D8" s="58" t="n">
        <v>2</v>
      </c>
      <c r="E8" s="59" t="n">
        <v>2</v>
      </c>
      <c r="F8" s="59" t="n">
        <v>2</v>
      </c>
      <c r="G8" s="59" t="n">
        <v>2</v>
      </c>
      <c r="H8" s="53" t="n">
        <v>2</v>
      </c>
      <c r="I8" s="50"/>
      <c r="J8" s="51" t="s">
        <v>79</v>
      </c>
      <c r="K8" s="52" t="s">
        <v>86</v>
      </c>
    </row>
    <row r="9" customFormat="false" ht="15" hidden="false" customHeight="false" outlineLevel="0" collapsed="false">
      <c r="B9" s="46" t="n">
        <v>7</v>
      </c>
      <c r="C9" s="47" t="s">
        <v>87</v>
      </c>
      <c r="D9" s="60" t="n">
        <v>20000</v>
      </c>
      <c r="E9" s="61" t="n">
        <f aca="false">D9*(1+I9)</f>
        <v>21000</v>
      </c>
      <c r="F9" s="61" t="n">
        <f aca="false">E9*(1+I9)</f>
        <v>22050</v>
      </c>
      <c r="G9" s="61" t="n">
        <f aca="false">F9*(1+I9)</f>
        <v>23152.5</v>
      </c>
      <c r="H9" s="61" t="n">
        <f aca="false">G9*(1+I9)</f>
        <v>24310.125</v>
      </c>
      <c r="I9" s="50" t="n">
        <v>0.05</v>
      </c>
      <c r="J9" s="51" t="s">
        <v>79</v>
      </c>
      <c r="K9" s="52"/>
    </row>
    <row r="10" customFormat="false" ht="23.85" hidden="false" customHeight="false" outlineLevel="0" collapsed="false">
      <c r="B10" s="46" t="n">
        <v>8</v>
      </c>
      <c r="C10" s="47" t="s">
        <v>88</v>
      </c>
      <c r="D10" s="58" t="n">
        <v>2</v>
      </c>
      <c r="E10" s="59" t="n">
        <v>2</v>
      </c>
      <c r="F10" s="59" t="n">
        <v>2</v>
      </c>
      <c r="G10" s="59" t="n">
        <v>2</v>
      </c>
      <c r="H10" s="59" t="n">
        <v>2</v>
      </c>
      <c r="I10" s="59"/>
      <c r="J10" s="51" t="s">
        <v>79</v>
      </c>
      <c r="K10" s="52" t="s">
        <v>89</v>
      </c>
    </row>
    <row r="11" customFormat="false" ht="15" hidden="false" customHeight="false" outlineLevel="0" collapsed="false">
      <c r="B11" s="46" t="n">
        <v>9</v>
      </c>
      <c r="C11" s="47" t="s">
        <v>90</v>
      </c>
      <c r="D11" s="62" t="n">
        <v>50</v>
      </c>
      <c r="E11" s="63" t="n">
        <v>50</v>
      </c>
      <c r="F11" s="63" t="n">
        <v>50</v>
      </c>
      <c r="G11" s="63" t="n">
        <v>50</v>
      </c>
      <c r="H11" s="63" t="n">
        <v>50</v>
      </c>
      <c r="I11" s="50"/>
      <c r="J11" s="51" t="s">
        <v>79</v>
      </c>
      <c r="K11" s="52" t="s">
        <v>91</v>
      </c>
    </row>
    <row r="12" customFormat="false" ht="15" hidden="false" customHeight="false" outlineLevel="0" collapsed="false">
      <c r="B12" s="46" t="n">
        <v>10</v>
      </c>
      <c r="C12" s="47" t="s">
        <v>92</v>
      </c>
      <c r="D12" s="62" t="n">
        <v>1</v>
      </c>
      <c r="E12" s="63" t="n">
        <v>1</v>
      </c>
      <c r="F12" s="63" t="n">
        <v>1</v>
      </c>
      <c r="G12" s="63" t="n">
        <v>1</v>
      </c>
      <c r="H12" s="63" t="n">
        <v>1</v>
      </c>
      <c r="I12" s="50"/>
      <c r="J12" s="51" t="s">
        <v>79</v>
      </c>
      <c r="K12" s="52" t="s">
        <v>93</v>
      </c>
    </row>
    <row r="13" customFormat="false" ht="15" hidden="false" customHeight="false" outlineLevel="0" collapsed="false">
      <c r="B13" s="46" t="n">
        <v>11</v>
      </c>
      <c r="C13" s="47" t="s">
        <v>94</v>
      </c>
      <c r="D13" s="62" t="n">
        <v>4050</v>
      </c>
      <c r="E13" s="63" t="n">
        <f aca="false">D13*(1+I13)</f>
        <v>4252.5</v>
      </c>
      <c r="F13" s="63" t="n">
        <f aca="false">E13*(1+I13)</f>
        <v>4465.125</v>
      </c>
      <c r="G13" s="63" t="n">
        <f aca="false">F13*(1+I13)</f>
        <v>4688.38125</v>
      </c>
      <c r="H13" s="63" t="n">
        <f aca="false">G13*(1+I13)</f>
        <v>4922.8003125</v>
      </c>
      <c r="I13" s="50" t="n">
        <v>0.05</v>
      </c>
      <c r="J13" s="51" t="s">
        <v>79</v>
      </c>
      <c r="K13" s="52"/>
    </row>
    <row r="14" customFormat="false" ht="15" hidden="false" customHeight="false" outlineLevel="0" collapsed="false">
      <c r="B14" s="46" t="n">
        <v>12</v>
      </c>
      <c r="C14" s="47" t="s">
        <v>95</v>
      </c>
      <c r="D14" s="62" t="n">
        <v>2</v>
      </c>
      <c r="E14" s="63" t="n">
        <v>2</v>
      </c>
      <c r="F14" s="63" t="n">
        <v>2</v>
      </c>
      <c r="G14" s="63" t="n">
        <v>2</v>
      </c>
      <c r="H14" s="63" t="n">
        <v>2</v>
      </c>
      <c r="I14" s="50"/>
      <c r="J14" s="51" t="s">
        <v>79</v>
      </c>
      <c r="K14" s="52" t="s">
        <v>96</v>
      </c>
    </row>
    <row r="15" customFormat="false" ht="15" hidden="false" customHeight="false" outlineLevel="0" collapsed="false">
      <c r="B15" s="46" t="n">
        <v>13</v>
      </c>
      <c r="C15" s="47" t="s">
        <v>97</v>
      </c>
      <c r="D15" s="62" t="n">
        <v>2</v>
      </c>
      <c r="E15" s="63" t="n">
        <v>2</v>
      </c>
      <c r="F15" s="63" t="n">
        <v>2</v>
      </c>
      <c r="G15" s="63" t="n">
        <v>2</v>
      </c>
      <c r="H15" s="63" t="n">
        <v>2</v>
      </c>
      <c r="I15" s="59"/>
      <c r="J15" s="51" t="s">
        <v>79</v>
      </c>
      <c r="K15" s="52" t="s">
        <v>98</v>
      </c>
    </row>
    <row r="16" customFormat="false" ht="15" hidden="false" customHeight="false" outlineLevel="0" collapsed="false">
      <c r="B16" s="46" t="n">
        <v>14</v>
      </c>
      <c r="C16" s="47" t="s">
        <v>99</v>
      </c>
      <c r="D16" s="62" t="n">
        <v>1</v>
      </c>
      <c r="E16" s="63" t="n">
        <v>1</v>
      </c>
      <c r="F16" s="63" t="n">
        <v>1</v>
      </c>
      <c r="G16" s="63" t="n">
        <v>1</v>
      </c>
      <c r="H16" s="63" t="n">
        <v>1</v>
      </c>
      <c r="I16" s="50"/>
      <c r="J16" s="51" t="s">
        <v>79</v>
      </c>
      <c r="K16" s="52" t="s">
        <v>100</v>
      </c>
    </row>
    <row r="17" customFormat="false" ht="15" hidden="false" customHeight="false" outlineLevel="0" collapsed="false">
      <c r="B17" s="46" t="n">
        <v>15</v>
      </c>
      <c r="C17" s="47" t="s">
        <v>101</v>
      </c>
      <c r="D17" s="62" t="n">
        <f aca="false">SUM(D14:D16)</f>
        <v>5</v>
      </c>
      <c r="E17" s="63" t="n">
        <f aca="false">SUM(E14:E16)</f>
        <v>5</v>
      </c>
      <c r="F17" s="63" t="n">
        <f aca="false">SUM(F14:F16)</f>
        <v>5</v>
      </c>
      <c r="G17" s="63" t="n">
        <f aca="false">SUM(G14:G16)</f>
        <v>5</v>
      </c>
      <c r="H17" s="63" t="n">
        <f aca="false">SUM(H14:H16)</f>
        <v>5</v>
      </c>
      <c r="I17" s="50"/>
      <c r="J17" s="64" t="s">
        <v>102</v>
      </c>
      <c r="K17" s="65" t="s">
        <v>103</v>
      </c>
    </row>
    <row r="18" customFormat="false" ht="15" hidden="false" customHeight="false" outlineLevel="0" collapsed="false">
      <c r="B18" s="46" t="n">
        <v>16</v>
      </c>
      <c r="C18" s="47" t="s">
        <v>104</v>
      </c>
      <c r="D18" s="62" t="s">
        <v>105</v>
      </c>
      <c r="E18" s="63" t="s">
        <v>105</v>
      </c>
      <c r="F18" s="63" t="s">
        <v>105</v>
      </c>
      <c r="G18" s="63" t="s">
        <v>105</v>
      </c>
      <c r="H18" s="63" t="s">
        <v>105</v>
      </c>
      <c r="I18" s="50"/>
      <c r="J18" s="64" t="s">
        <v>106</v>
      </c>
      <c r="K18" s="65" t="s">
        <v>107</v>
      </c>
    </row>
    <row r="19" customFormat="false" ht="15" hidden="false" customHeight="false" outlineLevel="0" collapsed="false">
      <c r="B19" s="46" t="n">
        <v>17</v>
      </c>
      <c r="C19" s="47" t="s">
        <v>108</v>
      </c>
      <c r="D19" s="62" t="n">
        <v>1</v>
      </c>
      <c r="E19" s="63" t="n">
        <v>1</v>
      </c>
      <c r="F19" s="63" t="n">
        <v>1</v>
      </c>
      <c r="G19" s="63" t="n">
        <v>1</v>
      </c>
      <c r="H19" s="63" t="n">
        <v>1</v>
      </c>
      <c r="I19" s="50"/>
      <c r="J19" s="51" t="s">
        <v>102</v>
      </c>
      <c r="K19" s="65" t="s">
        <v>109</v>
      </c>
    </row>
    <row r="20" customFormat="false" ht="15" hidden="false" customHeight="false" outlineLevel="0" collapsed="false">
      <c r="B20" s="46" t="n">
        <v>18</v>
      </c>
      <c r="C20" s="47" t="s">
        <v>110</v>
      </c>
      <c r="D20" s="62" t="s">
        <v>111</v>
      </c>
      <c r="E20" s="63" t="s">
        <v>111</v>
      </c>
      <c r="F20" s="63" t="s">
        <v>111</v>
      </c>
      <c r="G20" s="63" t="s">
        <v>111</v>
      </c>
      <c r="H20" s="63" t="s">
        <v>111</v>
      </c>
      <c r="I20" s="63"/>
      <c r="J20" s="66" t="s">
        <v>106</v>
      </c>
      <c r="K20" s="65" t="s">
        <v>107</v>
      </c>
    </row>
    <row r="21" customFormat="false" ht="15" hidden="false" customHeight="false" outlineLevel="0" collapsed="false">
      <c r="B21" s="46" t="n">
        <v>19</v>
      </c>
      <c r="C21" s="47" t="s">
        <v>112</v>
      </c>
      <c r="D21" s="62" t="n">
        <f aca="false">0.05*(D7+D9)</f>
        <v>536000</v>
      </c>
      <c r="E21" s="63" t="n">
        <f aca="false">0.05*(E7+E9)</f>
        <v>589550</v>
      </c>
      <c r="F21" s="63" t="n">
        <f aca="false">0.05*(F7+F9)</f>
        <v>648452.5</v>
      </c>
      <c r="G21" s="63" t="n">
        <f aca="false">0.05*(G7+G9)</f>
        <v>713242.625</v>
      </c>
      <c r="H21" s="63" t="n">
        <f aca="false">0.05*(H7+H9)</f>
        <v>784509.00625</v>
      </c>
      <c r="I21" s="63"/>
      <c r="J21" s="66" t="s">
        <v>102</v>
      </c>
      <c r="K21" s="65" t="s">
        <v>113</v>
      </c>
    </row>
    <row r="22" customFormat="false" ht="15" hidden="false" customHeight="false" outlineLevel="0" collapsed="false">
      <c r="B22" s="46" t="n">
        <v>20</v>
      </c>
      <c r="C22" s="47" t="s">
        <v>114</v>
      </c>
      <c r="D22" s="62" t="n">
        <f aca="false">0.1*(D5+D7+D9)</f>
        <v>3650654.1</v>
      </c>
      <c r="E22" s="63" t="n">
        <f aca="false">0.1*(E5+E7+E9)</f>
        <v>4015619.51</v>
      </c>
      <c r="F22" s="63" t="n">
        <f aca="false">0.1*(F5+F7+F9)</f>
        <v>4417076.461</v>
      </c>
      <c r="G22" s="63" t="n">
        <f aca="false">0.1*(G5+G7+G9)</f>
        <v>4858673.8571</v>
      </c>
      <c r="H22" s="63" t="n">
        <f aca="false">0.1*(H5+H7+H9)</f>
        <v>5344425.48031</v>
      </c>
      <c r="I22" s="63"/>
      <c r="J22" s="66" t="s">
        <v>102</v>
      </c>
      <c r="K22" s="65" t="s">
        <v>115</v>
      </c>
    </row>
    <row r="23" customFormat="false" ht="15" hidden="false" customHeight="false" outlineLevel="0" collapsed="false">
      <c r="B23" s="46" t="n">
        <v>21</v>
      </c>
      <c r="C23" s="47" t="s">
        <v>116</v>
      </c>
      <c r="D23" s="62" t="n">
        <f aca="false">0.1*(D5+D7+D9)</f>
        <v>3650654.1</v>
      </c>
      <c r="E23" s="63" t="n">
        <f aca="false">0.1*(E5+E7+E9)</f>
        <v>4015619.51</v>
      </c>
      <c r="F23" s="63" t="n">
        <f aca="false">0.1*(F5+F7+F9)</f>
        <v>4417076.461</v>
      </c>
      <c r="G23" s="63" t="n">
        <f aca="false">0.1*(G5+G7+G9)</f>
        <v>4858673.8571</v>
      </c>
      <c r="H23" s="63" t="n">
        <f aca="false">0.1*(H5+H7+H9)</f>
        <v>5344425.48031</v>
      </c>
      <c r="I23" s="63"/>
      <c r="J23" s="66" t="s">
        <v>102</v>
      </c>
      <c r="K23" s="65" t="s">
        <v>117</v>
      </c>
    </row>
    <row r="24" customFormat="false" ht="15" hidden="false" customHeight="false" outlineLevel="0" collapsed="false">
      <c r="B24" s="46" t="n">
        <v>22</v>
      </c>
      <c r="C24" s="47" t="s">
        <v>118</v>
      </c>
      <c r="D24" s="62" t="n">
        <f aca="false">D7+D9</f>
        <v>10720000</v>
      </c>
      <c r="E24" s="63" t="n">
        <f aca="false">E7+E9</f>
        <v>11791000</v>
      </c>
      <c r="F24" s="63" t="n">
        <f aca="false">F7+F9</f>
        <v>12969050</v>
      </c>
      <c r="G24" s="63" t="n">
        <f aca="false">G7+G9</f>
        <v>14264852.5</v>
      </c>
      <c r="H24" s="63" t="n">
        <f aca="false">H7+H9</f>
        <v>15690180.125</v>
      </c>
      <c r="I24" s="63"/>
      <c r="J24" s="66" t="s">
        <v>102</v>
      </c>
      <c r="K24" s="65" t="s">
        <v>119</v>
      </c>
    </row>
    <row r="25" customFormat="false" ht="15" hidden="false" customHeight="false" outlineLevel="0" collapsed="false">
      <c r="B25" s="46" t="n">
        <v>23</v>
      </c>
      <c r="C25" s="47" t="s">
        <v>120</v>
      </c>
      <c r="D25" s="62" t="n">
        <v>5000</v>
      </c>
      <c r="E25" s="63" t="n">
        <v>5000</v>
      </c>
      <c r="F25" s="63" t="n">
        <v>5000</v>
      </c>
      <c r="G25" s="63" t="n">
        <v>5000</v>
      </c>
      <c r="H25" s="63" t="n">
        <v>5000</v>
      </c>
      <c r="I25" s="63"/>
      <c r="J25" s="66" t="s">
        <v>79</v>
      </c>
      <c r="K25" s="65" t="s">
        <v>121</v>
      </c>
    </row>
    <row r="26" customFormat="false" ht="15" hidden="false" customHeight="false" outlineLevel="0" collapsed="false">
      <c r="B26" s="46" t="n">
        <v>24</v>
      </c>
      <c r="C26" s="47" t="s">
        <v>122</v>
      </c>
      <c r="D26" s="62"/>
      <c r="E26" s="63"/>
      <c r="F26" s="63"/>
      <c r="G26" s="63"/>
      <c r="H26" s="63"/>
      <c r="I26" s="63"/>
      <c r="J26" s="66" t="s">
        <v>102</v>
      </c>
      <c r="K26" s="65" t="s">
        <v>123</v>
      </c>
    </row>
    <row r="27" customFormat="false" ht="15" hidden="false" customHeight="false" outlineLevel="0" collapsed="false">
      <c r="B27" s="46" t="n">
        <v>25</v>
      </c>
      <c r="C27" s="47" t="s">
        <v>124</v>
      </c>
      <c r="D27" s="62" t="n">
        <f aca="false">0.01*(D5+D7+D9)</f>
        <v>365065.41</v>
      </c>
      <c r="E27" s="63" t="n">
        <f aca="false">0.01*(E5+E7+E9)</f>
        <v>401561.951</v>
      </c>
      <c r="F27" s="63" t="n">
        <f aca="false">0.01*(F5+F7+F9)</f>
        <v>441707.6461</v>
      </c>
      <c r="G27" s="63" t="n">
        <f aca="false">0.01*(G5+G7+G9)</f>
        <v>485867.38571</v>
      </c>
      <c r="H27" s="63" t="n">
        <f aca="false">0.01*(H5+H7+H9)</f>
        <v>534442.548031</v>
      </c>
      <c r="I27" s="63"/>
      <c r="J27" s="66" t="s">
        <v>102</v>
      </c>
      <c r="K27" s="65" t="s">
        <v>125</v>
      </c>
    </row>
    <row r="28" customFormat="false" ht="15" hidden="false" customHeight="false" outlineLevel="0" collapsed="false">
      <c r="B28" s="46"/>
      <c r="C28" s="47" t="s">
        <v>126</v>
      </c>
      <c r="D28" s="62" t="n">
        <v>2</v>
      </c>
      <c r="E28" s="63" t="n">
        <v>2</v>
      </c>
      <c r="F28" s="63" t="n">
        <v>2</v>
      </c>
      <c r="G28" s="63" t="n">
        <v>2</v>
      </c>
      <c r="H28" s="63" t="n">
        <v>2</v>
      </c>
      <c r="I28" s="63"/>
      <c r="J28" s="66"/>
      <c r="K28" s="65"/>
    </row>
    <row r="29" customFormat="false" ht="23.85" hidden="false" customHeight="false" outlineLevel="0" collapsed="false">
      <c r="B29" s="46"/>
      <c r="C29" s="47" t="s">
        <v>127</v>
      </c>
      <c r="D29" s="62" t="n">
        <v>3</v>
      </c>
      <c r="E29" s="63" t="n">
        <v>3</v>
      </c>
      <c r="F29" s="63" t="n">
        <v>3</v>
      </c>
      <c r="G29" s="63" t="n">
        <v>3</v>
      </c>
      <c r="H29" s="63" t="n">
        <v>3</v>
      </c>
      <c r="I29" s="63"/>
      <c r="J29" s="67"/>
      <c r="K29" s="52"/>
    </row>
    <row r="30" customFormat="false" ht="15" hidden="false" customHeight="false" outlineLevel="0" collapsed="false">
      <c r="B30" s="46"/>
      <c r="C30" s="47"/>
      <c r="D30" s="63"/>
      <c r="E30" s="63"/>
      <c r="F30" s="63"/>
      <c r="G30" s="63"/>
      <c r="H30" s="63"/>
      <c r="I30" s="63"/>
      <c r="J30" s="67"/>
      <c r="K30" s="68"/>
    </row>
    <row r="31" customFormat="false" ht="15" hidden="false" customHeight="false" outlineLevel="0" collapsed="false">
      <c r="B31" s="46"/>
      <c r="C31" s="47"/>
      <c r="D31" s="63"/>
      <c r="E31" s="63"/>
      <c r="F31" s="63"/>
      <c r="G31" s="63"/>
      <c r="H31" s="63"/>
      <c r="I31" s="63"/>
      <c r="J31" s="67"/>
      <c r="K31" s="68"/>
    </row>
    <row r="32" customFormat="false" ht="15" hidden="false" customHeight="false" outlineLevel="0" collapsed="false">
      <c r="B32" s="46"/>
      <c r="C32" s="47"/>
      <c r="D32" s="63"/>
      <c r="E32" s="63"/>
      <c r="F32" s="63"/>
      <c r="G32" s="63"/>
      <c r="H32" s="63"/>
      <c r="I32" s="63"/>
      <c r="J32" s="67"/>
      <c r="K32" s="68"/>
    </row>
    <row r="33" customFormat="false" ht="15" hidden="false" customHeight="true" outlineLevel="0" collapsed="false">
      <c r="B33" s="45" t="s">
        <v>0</v>
      </c>
      <c r="C33" s="45" t="s">
        <v>41</v>
      </c>
      <c r="D33" s="45"/>
      <c r="E33" s="45"/>
      <c r="F33" s="45"/>
      <c r="G33" s="45"/>
      <c r="H33" s="45"/>
      <c r="I33" s="45"/>
      <c r="J33" s="45" t="s">
        <v>128</v>
      </c>
      <c r="K33" s="45" t="s">
        <v>129</v>
      </c>
    </row>
    <row r="34" customFormat="false" ht="15" hidden="false" customHeight="true" outlineLevel="0" collapsed="false">
      <c r="B34" s="46" t="n">
        <v>1</v>
      </c>
      <c r="C34" s="69" t="s">
        <v>130</v>
      </c>
      <c r="D34" s="69"/>
      <c r="E34" s="69"/>
      <c r="F34" s="69"/>
      <c r="G34" s="69"/>
      <c r="H34" s="69"/>
      <c r="I34" s="69"/>
      <c r="J34" s="70" t="s">
        <v>131</v>
      </c>
      <c r="K34" s="71"/>
    </row>
    <row r="35" customFormat="false" ht="15" hidden="false" customHeight="true" outlineLevel="0" collapsed="false">
      <c r="B35" s="46" t="n">
        <v>2</v>
      </c>
      <c r="C35" s="72" t="s">
        <v>132</v>
      </c>
      <c r="D35" s="72"/>
      <c r="E35" s="72"/>
      <c r="F35" s="72"/>
      <c r="G35" s="72"/>
      <c r="H35" s="72"/>
      <c r="I35" s="72"/>
      <c r="J35" s="70" t="s">
        <v>133</v>
      </c>
      <c r="K35" s="71"/>
    </row>
    <row r="36" customFormat="false" ht="15" hidden="false" customHeight="true" outlineLevel="0" collapsed="false">
      <c r="B36" s="46" t="n">
        <v>3</v>
      </c>
      <c r="C36" s="72" t="s">
        <v>134</v>
      </c>
      <c r="D36" s="72"/>
      <c r="E36" s="72"/>
      <c r="F36" s="72"/>
      <c r="G36" s="72"/>
      <c r="H36" s="72"/>
      <c r="I36" s="72"/>
      <c r="J36" s="70" t="s">
        <v>135</v>
      </c>
      <c r="K36" s="71"/>
    </row>
    <row r="37" customFormat="false" ht="15" hidden="false" customHeight="true" outlineLevel="0" collapsed="false">
      <c r="B37" s="46" t="n">
        <v>4</v>
      </c>
      <c r="C37" s="72" t="s">
        <v>136</v>
      </c>
      <c r="D37" s="72"/>
      <c r="E37" s="72"/>
      <c r="F37" s="72"/>
      <c r="G37" s="72"/>
      <c r="H37" s="72"/>
      <c r="I37" s="72"/>
      <c r="J37" s="70" t="s">
        <v>137</v>
      </c>
      <c r="K37" s="71"/>
    </row>
    <row r="38" customFormat="false" ht="15" hidden="false" customHeight="true" outlineLevel="0" collapsed="false">
      <c r="B38" s="46" t="n">
        <v>5</v>
      </c>
      <c r="C38" s="72" t="s">
        <v>138</v>
      </c>
      <c r="D38" s="72"/>
      <c r="E38" s="72"/>
      <c r="F38" s="72"/>
      <c r="G38" s="72"/>
      <c r="H38" s="72"/>
      <c r="I38" s="72"/>
      <c r="J38" s="70" t="s">
        <v>139</v>
      </c>
      <c r="K38" s="71"/>
    </row>
    <row r="39" customFormat="false" ht="15" hidden="false" customHeight="true" outlineLevel="0" collapsed="false">
      <c r="B39" s="46" t="n">
        <v>6</v>
      </c>
      <c r="C39" s="72" t="s">
        <v>140</v>
      </c>
      <c r="D39" s="72"/>
      <c r="E39" s="72"/>
      <c r="F39" s="72"/>
      <c r="G39" s="72"/>
      <c r="H39" s="72"/>
      <c r="I39" s="72"/>
      <c r="J39" s="70" t="s">
        <v>141</v>
      </c>
      <c r="K39" s="71"/>
    </row>
    <row r="40" customFormat="false" ht="15" hidden="false" customHeight="false" outlineLevel="0" collapsed="false">
      <c r="B40" s="73"/>
      <c r="C40" s="74"/>
      <c r="D40" s="75"/>
      <c r="I40" s="76"/>
      <c r="J40" s="77"/>
    </row>
    <row r="41" customFormat="false" ht="15" hidden="false" customHeight="true" outlineLevel="0" collapsed="false">
      <c r="B41" s="45" t="s">
        <v>0</v>
      </c>
      <c r="C41" s="45" t="s">
        <v>142</v>
      </c>
      <c r="D41" s="45"/>
      <c r="E41" s="45"/>
      <c r="F41" s="45"/>
      <c r="G41" s="45" t="s">
        <v>143</v>
      </c>
      <c r="H41" s="45" t="s">
        <v>144</v>
      </c>
      <c r="I41" s="45"/>
      <c r="J41" s="45" t="s">
        <v>129</v>
      </c>
    </row>
    <row r="42" customFormat="false" ht="16.5" hidden="false" customHeight="true" outlineLevel="0" collapsed="false">
      <c r="B42" s="78" t="n">
        <v>1</v>
      </c>
      <c r="C42" s="79" t="s">
        <v>145</v>
      </c>
      <c r="D42" s="79"/>
      <c r="E42" s="79"/>
      <c r="F42" s="79"/>
      <c r="G42" s="70" t="s">
        <v>141</v>
      </c>
      <c r="H42" s="80" t="s">
        <v>146</v>
      </c>
      <c r="I42" s="80"/>
      <c r="J42" s="81"/>
    </row>
    <row r="43" customFormat="false" ht="15" hidden="false" customHeight="true" outlineLevel="0" collapsed="false">
      <c r="B43" s="78" t="n">
        <v>2</v>
      </c>
      <c r="C43" s="79" t="s">
        <v>147</v>
      </c>
      <c r="D43" s="79"/>
      <c r="E43" s="79"/>
      <c r="F43" s="79"/>
      <c r="G43" s="70" t="s">
        <v>141</v>
      </c>
      <c r="H43" s="80" t="n">
        <v>1</v>
      </c>
      <c r="I43" s="80"/>
      <c r="J43" s="81"/>
    </row>
    <row r="44" customFormat="false" ht="15" hidden="false" customHeight="true" outlineLevel="0" collapsed="false">
      <c r="B44" s="78" t="n">
        <v>3</v>
      </c>
      <c r="C44" s="79" t="s">
        <v>148</v>
      </c>
      <c r="D44" s="79"/>
      <c r="E44" s="79"/>
      <c r="F44" s="79"/>
      <c r="G44" s="70" t="s">
        <v>141</v>
      </c>
      <c r="H44" s="80" t="n">
        <v>0.5</v>
      </c>
      <c r="I44" s="80"/>
      <c r="J44" s="81"/>
    </row>
    <row r="45" customFormat="false" ht="15" hidden="false" customHeight="true" outlineLevel="0" collapsed="false">
      <c r="B45" s="78" t="n">
        <v>4</v>
      </c>
      <c r="C45" s="79" t="s">
        <v>149</v>
      </c>
      <c r="D45" s="79"/>
      <c r="E45" s="79"/>
      <c r="F45" s="79"/>
      <c r="G45" s="70" t="s">
        <v>141</v>
      </c>
      <c r="H45" s="80" t="s">
        <v>146</v>
      </c>
      <c r="I45" s="80"/>
      <c r="J45" s="81"/>
    </row>
    <row r="46" customFormat="false" ht="15" hidden="false" customHeight="true" outlineLevel="0" collapsed="false">
      <c r="B46" s="78" t="n">
        <v>5</v>
      </c>
      <c r="C46" s="79" t="s">
        <v>150</v>
      </c>
      <c r="D46" s="79"/>
      <c r="E46" s="79"/>
      <c r="F46" s="79"/>
      <c r="G46" s="70" t="s">
        <v>141</v>
      </c>
      <c r="H46" s="80" t="s">
        <v>146</v>
      </c>
      <c r="I46" s="80"/>
      <c r="J46" s="82"/>
    </row>
    <row r="47" customFormat="false" ht="15" hidden="false" customHeight="true" outlineLevel="0" collapsed="false">
      <c r="B47" s="78" t="n">
        <v>6</v>
      </c>
      <c r="C47" s="79" t="s">
        <v>151</v>
      </c>
      <c r="D47" s="79"/>
      <c r="E47" s="79"/>
      <c r="F47" s="79"/>
      <c r="G47" s="70" t="s">
        <v>152</v>
      </c>
      <c r="H47" s="80" t="s">
        <v>146</v>
      </c>
      <c r="I47" s="80"/>
      <c r="J47" s="82"/>
    </row>
    <row r="48" customFormat="false" ht="15" hidden="false" customHeight="true" outlineLevel="0" collapsed="false">
      <c r="B48" s="78" t="n">
        <v>7</v>
      </c>
      <c r="C48" s="79" t="s">
        <v>153</v>
      </c>
      <c r="D48" s="79"/>
      <c r="E48" s="79"/>
      <c r="F48" s="79"/>
      <c r="G48" s="70" t="s">
        <v>152</v>
      </c>
      <c r="H48" s="80" t="s">
        <v>146</v>
      </c>
      <c r="I48" s="80"/>
      <c r="J48" s="82"/>
    </row>
    <row r="49" s="38" customFormat="true" ht="15.75" hidden="false" customHeight="false" outlineLevel="0" collapsed="false"/>
    <row r="50" s="38" customFormat="true" ht="15" hidden="false" customHeight="false" outlineLevel="0" collapsed="false"/>
    <row r="51" s="38" customFormat="true" ht="15" hidden="false" customHeight="false" outlineLevel="0" collapsed="false"/>
    <row r="52" s="38" customFormat="true" ht="15" hidden="false" customHeight="false" outlineLevel="0" collapsed="false"/>
    <row r="53" s="38" customFormat="true" ht="15" hidden="false" customHeight="false" outlineLevel="0" collapsed="false"/>
    <row r="54" s="38" customFormat="true" ht="15" hidden="false" customHeight="false" outlineLevel="0" collapsed="false"/>
    <row r="55" s="38" customFormat="true" ht="15" hidden="false" customHeight="false" outlineLevel="0" collapsed="false"/>
    <row r="56" s="38" customFormat="true" ht="15" hidden="false" customHeight="false" outlineLevel="0" collapsed="false"/>
    <row r="57" s="38" customFormat="true" ht="15" hidden="false" customHeight="false" outlineLevel="0" collapsed="false"/>
    <row r="58" s="38" customFormat="true" ht="15" hidden="false" customHeight="false" outlineLevel="0" collapsed="false"/>
    <row r="59" s="38" customFormat="true" ht="15" hidden="false" customHeight="false" outlineLevel="0" collapsed="false"/>
    <row r="60" s="38" customFormat="true" ht="15" hidden="false" customHeight="false" outlineLevel="0" collapsed="false"/>
    <row r="61" s="38" customFormat="true" ht="15" hidden="false" customHeight="false" outlineLevel="0" collapsed="false"/>
    <row r="62" s="38" customFormat="true" ht="15" hidden="false" customHeight="false" outlineLevel="0" collapsed="false"/>
    <row r="63" s="38" customFormat="true" ht="15" hidden="false" customHeight="false" outlineLevel="0" collapsed="false"/>
    <row r="64" s="38" customFormat="true" ht="15" hidden="false" customHeight="false" outlineLevel="0" collapsed="false"/>
    <row r="65" s="38" customFormat="true" ht="15" hidden="false" customHeight="false" outlineLevel="0" collapsed="false"/>
    <row r="66" s="38" customFormat="true" ht="15" hidden="false" customHeight="false" outlineLevel="0" collapsed="false"/>
  </sheetData>
  <sheetProtection algorithmName="SHA-512" hashValue="HYF+r4Z1933o1m9+63Pn7rdtPiSEGwIEwitfwiUpIuCpu7IPrfLCwgAkzSHgrBI31N/Uu0c7Sbj3SqmSW8fFNw==" saltValue="Z1pXetC0TuEPXPohmL2eaQ==" spinCount="100000" sheet="true" objects="true" scenarios="true"/>
  <mergeCells count="24">
    <mergeCell ref="A1:J1"/>
    <mergeCell ref="C33:I33"/>
    <mergeCell ref="C34:I34"/>
    <mergeCell ref="C35:I35"/>
    <mergeCell ref="C36:I36"/>
    <mergeCell ref="C37:I37"/>
    <mergeCell ref="C38:I38"/>
    <mergeCell ref="C39:I39"/>
    <mergeCell ref="C41:F41"/>
    <mergeCell ref="H41:I41"/>
    <mergeCell ref="C42:F42"/>
    <mergeCell ref="H42:I42"/>
    <mergeCell ref="C43:F43"/>
    <mergeCell ref="H43:I43"/>
    <mergeCell ref="C44:F44"/>
    <mergeCell ref="H44:I44"/>
    <mergeCell ref="C45:F45"/>
    <mergeCell ref="H45:I45"/>
    <mergeCell ref="C46:F46"/>
    <mergeCell ref="H46:I46"/>
    <mergeCell ref="C47:F47"/>
    <mergeCell ref="H47:I47"/>
    <mergeCell ref="C48:F48"/>
    <mergeCell ref="H48:I48"/>
  </mergeCells>
  <dataValidations count="6">
    <dataValidation allowBlank="false" errorStyle="stop" operator="between" showDropDown="false" showErrorMessage="true" showInputMessage="true" sqref="J36" type="list">
      <formula1>"Cloud,On-Premises"</formula1>
      <formula2>0</formula2>
    </dataValidation>
    <dataValidation allowBlank="true" errorStyle="stop" operator="between" showDropDown="false" showErrorMessage="true" showInputMessage="true" sqref="J38" type="list">
      <formula1>"MSSQL,Oracle,Postgres"</formula1>
      <formula2>0</formula2>
    </dataValidation>
    <dataValidation allowBlank="true" errorStyle="stop" operator="between" showDropDown="false" showErrorMessage="true" showInputMessage="true" sqref="J39 G42:G48" type="list">
      <formula1>"Yes,No"</formula1>
      <formula2>0</formula2>
    </dataValidation>
    <dataValidation allowBlank="true" errorStyle="stop" operator="between" showDropDown="false" showErrorMessage="true" showInputMessage="true" sqref="J37" type="list">
      <formula1>"No Preference,AWS,GCP,Azure,OCI,OpenShift,Not listed"</formula1>
      <formula2>0</formula2>
    </dataValidation>
    <dataValidation allowBlank="false" errorStyle="stop" operator="between" showDropDown="false" showErrorMessage="true" showInputMessage="true" sqref="J35" type="list">
      <formula1>"SaaS,Customer hosted"</formula1>
      <formula2>0</formula2>
    </dataValidation>
    <dataValidation allowBlank="true" errorStyle="stop" operator="between" showDropDown="false" showErrorMessage="true" showInputMessage="true" sqref="H42:I48" type="list">
      <formula1>"100%,50%,NA"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C3" activeCellId="0" sqref="C3"/>
    </sheetView>
  </sheetViews>
  <sheetFormatPr defaultColWidth="9.00390625" defaultRowHeight="15" zeroHeight="false" outlineLevelRow="0" outlineLevelCol="0"/>
  <cols>
    <col collapsed="false" customWidth="true" hidden="false" outlineLevel="0" max="1" min="1" style="38" width="5.42"/>
    <col collapsed="false" customWidth="true" hidden="false" outlineLevel="0" max="2" min="2" style="38" width="6.14"/>
    <col collapsed="false" customWidth="true" hidden="false" outlineLevel="0" max="3" min="3" style="38" width="47.42"/>
    <col collapsed="false" customWidth="true" hidden="false" outlineLevel="0" max="8" min="4" style="38" width="12.15"/>
    <col collapsed="false" customWidth="true" hidden="false" outlineLevel="0" max="9" min="9" style="38" width="12.42"/>
    <col collapsed="false" customWidth="true" hidden="false" outlineLevel="0" max="10" min="10" style="39" width="16.43"/>
    <col collapsed="false" customWidth="true" hidden="false" outlineLevel="0" max="11" min="11" style="38" width="68.29"/>
    <col collapsed="false" customWidth="false" hidden="false" outlineLevel="0" max="16384" min="12" style="38" width="9"/>
  </cols>
  <sheetData>
    <row r="2" customFormat="false" ht="15" hidden="false" customHeight="false" outlineLevel="0" collapsed="false">
      <c r="B2" s="45" t="s">
        <v>69</v>
      </c>
      <c r="C2" s="45" t="s">
        <v>154</v>
      </c>
      <c r="D2" s="45" t="s">
        <v>70</v>
      </c>
      <c r="E2" s="45" t="s">
        <v>71</v>
      </c>
      <c r="F2" s="45" t="s">
        <v>72</v>
      </c>
      <c r="G2" s="45" t="s">
        <v>73</v>
      </c>
      <c r="H2" s="45" t="s">
        <v>74</v>
      </c>
      <c r="I2" s="45" t="s">
        <v>75</v>
      </c>
      <c r="J2" s="45" t="s">
        <v>76</v>
      </c>
      <c r="K2" s="45" t="s">
        <v>77</v>
      </c>
    </row>
    <row r="3" customFormat="false" ht="15" hidden="false" customHeight="false" outlineLevel="0" collapsed="false">
      <c r="B3" s="46" t="n">
        <v>1</v>
      </c>
      <c r="C3" s="83" t="s">
        <v>78</v>
      </c>
      <c r="D3" s="84" t="n">
        <f aca="false">'Customer Volumes'!D3</f>
        <v>15500</v>
      </c>
      <c r="E3" s="84" t="n">
        <f aca="false">'Customer Volumes'!E3</f>
        <v>16275</v>
      </c>
      <c r="F3" s="84" t="n">
        <f aca="false">'Customer Volumes'!F3</f>
        <v>17088.75</v>
      </c>
      <c r="G3" s="84" t="n">
        <f aca="false">'Customer Volumes'!G3</f>
        <v>17943.1875</v>
      </c>
      <c r="H3" s="84" t="n">
        <f aca="false">'Customer Volumes'!H3</f>
        <v>18840.346875</v>
      </c>
      <c r="I3" s="85" t="n">
        <f aca="false">'Customer Volumes'!I3</f>
        <v>0.05</v>
      </c>
      <c r="J3" s="51" t="s">
        <v>79</v>
      </c>
      <c r="K3" s="52"/>
    </row>
    <row r="4" customFormat="false" ht="15" hidden="false" customHeight="false" outlineLevel="0" collapsed="false">
      <c r="B4" s="46" t="n">
        <v>2</v>
      </c>
      <c r="C4" s="83" t="s">
        <v>80</v>
      </c>
      <c r="D4" s="84" t="n">
        <f aca="false">'Customer Volumes'!D4</f>
        <v>4650</v>
      </c>
      <c r="E4" s="84" t="n">
        <f aca="false">'Customer Volumes'!E4</f>
        <v>4882.5</v>
      </c>
      <c r="F4" s="84" t="n">
        <f aca="false">'Customer Volumes'!F4</f>
        <v>5126.625</v>
      </c>
      <c r="G4" s="84" t="n">
        <f aca="false">'Customer Volumes'!G4</f>
        <v>5382.95625</v>
      </c>
      <c r="H4" s="84" t="n">
        <f aca="false">'Customer Volumes'!H4</f>
        <v>5652.1040625</v>
      </c>
      <c r="I4" s="85" t="n">
        <f aca="false">'Customer Volumes'!I4</f>
        <v>0.05</v>
      </c>
      <c r="J4" s="51" t="s">
        <v>79</v>
      </c>
      <c r="K4" s="52"/>
    </row>
    <row r="5" customFormat="false" ht="15" hidden="false" customHeight="false" outlineLevel="0" collapsed="false">
      <c r="B5" s="46" t="n">
        <v>3</v>
      </c>
      <c r="C5" s="86" t="s">
        <v>155</v>
      </c>
      <c r="D5" s="84" t="n">
        <f aca="false">'Customer Volumes'!D5/200/8</f>
        <v>16116.588125</v>
      </c>
      <c r="E5" s="84" t="n">
        <f aca="false">'Customer Volumes'!E5/200/8</f>
        <v>17728.2469375</v>
      </c>
      <c r="F5" s="84" t="n">
        <f aca="false">'Customer Volumes'!F5/200/8</f>
        <v>19501.07163125</v>
      </c>
      <c r="G5" s="84" t="n">
        <f aca="false">'Customer Volumes'!G5/200/8</f>
        <v>21451.178794375</v>
      </c>
      <c r="H5" s="84" t="n">
        <f aca="false">'Customer Volumes'!H5/200/8</f>
        <v>23596.2966738125</v>
      </c>
      <c r="I5" s="85" t="n">
        <f aca="false">'Customer Volumes'!I5</f>
        <v>0.1</v>
      </c>
      <c r="J5" s="51" t="s">
        <v>79</v>
      </c>
      <c r="K5" s="52"/>
    </row>
    <row r="6" customFormat="false" ht="15" hidden="false" customHeight="false" outlineLevel="0" collapsed="false">
      <c r="B6" s="46" t="n">
        <v>4</v>
      </c>
      <c r="C6" s="87" t="s">
        <v>82</v>
      </c>
      <c r="D6" s="84" t="n">
        <v>2</v>
      </c>
      <c r="E6" s="84" t="n">
        <v>2</v>
      </c>
      <c r="F6" s="84" t="n">
        <v>2</v>
      </c>
      <c r="G6" s="84" t="n">
        <v>2</v>
      </c>
      <c r="H6" s="84" t="n">
        <v>2</v>
      </c>
      <c r="I6" s="88"/>
      <c r="J6" s="51" t="s">
        <v>79</v>
      </c>
      <c r="K6" s="52" t="s">
        <v>83</v>
      </c>
    </row>
    <row r="7" customFormat="false" ht="15" hidden="false" customHeight="false" outlineLevel="0" collapsed="false">
      <c r="B7" s="46" t="n">
        <v>5</v>
      </c>
      <c r="C7" s="83" t="s">
        <v>84</v>
      </c>
      <c r="D7" s="84" t="n">
        <f aca="false">'Customer Volumes'!D7/200/8</f>
        <v>6687.5</v>
      </c>
      <c r="E7" s="84" t="n">
        <f aca="false">'Customer Volumes'!E7/200/8</f>
        <v>7356.25</v>
      </c>
      <c r="F7" s="84" t="n">
        <f aca="false">'Customer Volumes'!F7/200/8</f>
        <v>8091.875</v>
      </c>
      <c r="G7" s="84" t="n">
        <f aca="false">'Customer Volumes'!G7/200/8</f>
        <v>8901.0625</v>
      </c>
      <c r="H7" s="84" t="n">
        <f aca="false">'Customer Volumes'!H7/200/8</f>
        <v>9791.16875</v>
      </c>
      <c r="I7" s="88"/>
      <c r="J7" s="51" t="s">
        <v>79</v>
      </c>
      <c r="K7" s="52"/>
    </row>
    <row r="8" customFormat="false" ht="15" hidden="false" customHeight="false" outlineLevel="0" collapsed="false">
      <c r="B8" s="46" t="n">
        <v>6</v>
      </c>
      <c r="C8" s="83" t="s">
        <v>85</v>
      </c>
      <c r="D8" s="84" t="n">
        <v>2</v>
      </c>
      <c r="E8" s="84" t="n">
        <v>2</v>
      </c>
      <c r="F8" s="84" t="n">
        <v>2</v>
      </c>
      <c r="G8" s="84" t="n">
        <v>2</v>
      </c>
      <c r="H8" s="84" t="n">
        <v>2</v>
      </c>
      <c r="I8" s="88"/>
      <c r="J8" s="51" t="s">
        <v>79</v>
      </c>
      <c r="K8" s="52" t="s">
        <v>86</v>
      </c>
    </row>
    <row r="9" customFormat="false" ht="15" hidden="false" customHeight="false" outlineLevel="0" collapsed="false">
      <c r="B9" s="46" t="n">
        <v>7</v>
      </c>
      <c r="C9" s="83" t="s">
        <v>156</v>
      </c>
      <c r="D9" s="84" t="n">
        <f aca="false">'Customer Volumes'!D9/200/8</f>
        <v>12.5</v>
      </c>
      <c r="E9" s="84" t="n">
        <f aca="false">'Customer Volumes'!E9/200/8</f>
        <v>13.125</v>
      </c>
      <c r="F9" s="84" t="n">
        <f aca="false">'Customer Volumes'!F9/200/8</f>
        <v>13.78125</v>
      </c>
      <c r="G9" s="84" t="n">
        <f aca="false">'Customer Volumes'!G9/200/8</f>
        <v>14.4703125</v>
      </c>
      <c r="H9" s="84" t="n">
        <f aca="false">'Customer Volumes'!H9/200/8</f>
        <v>15.193828125</v>
      </c>
      <c r="I9" s="88" t="n">
        <v>0.15</v>
      </c>
      <c r="J9" s="51" t="s">
        <v>79</v>
      </c>
      <c r="K9" s="52"/>
    </row>
    <row r="10" customFormat="false" ht="15" hidden="false" customHeight="false" outlineLevel="0" collapsed="false">
      <c r="B10" s="46" t="n">
        <v>8</v>
      </c>
      <c r="C10" s="83" t="s">
        <v>157</v>
      </c>
      <c r="D10" s="84" t="n">
        <v>1</v>
      </c>
      <c r="E10" s="84" t="n">
        <v>1</v>
      </c>
      <c r="F10" s="84" t="n">
        <v>1</v>
      </c>
      <c r="G10" s="84" t="n">
        <v>1</v>
      </c>
      <c r="H10" s="84" t="n">
        <v>1</v>
      </c>
      <c r="I10" s="89"/>
      <c r="J10" s="51" t="s">
        <v>79</v>
      </c>
      <c r="K10" s="52" t="s">
        <v>89</v>
      </c>
    </row>
    <row r="11" customFormat="false" ht="15" hidden="false" customHeight="false" outlineLevel="0" collapsed="false">
      <c r="B11" s="46" t="n">
        <v>9</v>
      </c>
      <c r="C11" s="83" t="s">
        <v>158</v>
      </c>
      <c r="D11" s="84" t="n">
        <v>1</v>
      </c>
      <c r="E11" s="84" t="n">
        <v>1</v>
      </c>
      <c r="F11" s="84" t="n">
        <v>1</v>
      </c>
      <c r="G11" s="84" t="n">
        <v>1</v>
      </c>
      <c r="H11" s="84" t="n">
        <v>1</v>
      </c>
      <c r="I11" s="88"/>
      <c r="J11" s="51" t="s">
        <v>79</v>
      </c>
      <c r="K11" s="52" t="s">
        <v>91</v>
      </c>
    </row>
    <row r="12" customFormat="false" ht="15" hidden="false" customHeight="false" outlineLevel="0" collapsed="false">
      <c r="B12" s="46" t="n">
        <v>10</v>
      </c>
      <c r="C12" s="83" t="s">
        <v>92</v>
      </c>
      <c r="D12" s="84" t="n">
        <v>1</v>
      </c>
      <c r="E12" s="84" t="n">
        <v>1</v>
      </c>
      <c r="F12" s="84" t="n">
        <v>1</v>
      </c>
      <c r="G12" s="84" t="n">
        <v>1</v>
      </c>
      <c r="H12" s="84" t="n">
        <v>1</v>
      </c>
      <c r="I12" s="88"/>
      <c r="J12" s="51" t="s">
        <v>79</v>
      </c>
      <c r="K12" s="52" t="s">
        <v>93</v>
      </c>
    </row>
    <row r="13" customFormat="false" ht="15" hidden="false" customHeight="false" outlineLevel="0" collapsed="false">
      <c r="B13" s="46" t="n">
        <v>11</v>
      </c>
      <c r="C13" s="83" t="s">
        <v>94</v>
      </c>
      <c r="D13" s="84" t="n">
        <v>500</v>
      </c>
      <c r="E13" s="84" t="n">
        <f aca="false">D13*(1+I13)</f>
        <v>525</v>
      </c>
      <c r="F13" s="84" t="n">
        <f aca="false">E13*(1+I13)</f>
        <v>551.25</v>
      </c>
      <c r="G13" s="84" t="n">
        <f aca="false">F13*(1+I13)</f>
        <v>578.8125</v>
      </c>
      <c r="H13" s="84" t="n">
        <f aca="false">G13*(1+I13)</f>
        <v>607.753125</v>
      </c>
      <c r="I13" s="88" t="n">
        <v>0.05</v>
      </c>
      <c r="J13" s="51" t="s">
        <v>79</v>
      </c>
      <c r="K13" s="52"/>
    </row>
    <row r="14" customFormat="false" ht="15" hidden="false" customHeight="false" outlineLevel="0" collapsed="false">
      <c r="B14" s="46" t="n">
        <v>12</v>
      </c>
      <c r="C14" s="83" t="s">
        <v>95</v>
      </c>
      <c r="D14" s="84" t="n">
        <v>2</v>
      </c>
      <c r="E14" s="84" t="n">
        <v>2</v>
      </c>
      <c r="F14" s="84" t="n">
        <v>2</v>
      </c>
      <c r="G14" s="84" t="n">
        <v>2</v>
      </c>
      <c r="H14" s="84" t="n">
        <v>2</v>
      </c>
      <c r="I14" s="88"/>
      <c r="J14" s="51" t="s">
        <v>79</v>
      </c>
      <c r="K14" s="52" t="s">
        <v>96</v>
      </c>
    </row>
    <row r="15" customFormat="false" ht="15" hidden="false" customHeight="false" outlineLevel="0" collapsed="false">
      <c r="B15" s="46" t="n">
        <v>13</v>
      </c>
      <c r="C15" s="83" t="s">
        <v>97</v>
      </c>
      <c r="D15" s="84" t="n">
        <v>2</v>
      </c>
      <c r="E15" s="84" t="n">
        <v>2</v>
      </c>
      <c r="F15" s="84" t="n">
        <v>2</v>
      </c>
      <c r="G15" s="84" t="n">
        <v>2</v>
      </c>
      <c r="H15" s="84" t="n">
        <v>2</v>
      </c>
      <c r="I15" s="89"/>
      <c r="J15" s="51" t="s">
        <v>79</v>
      </c>
      <c r="K15" s="52" t="s">
        <v>98</v>
      </c>
    </row>
    <row r="16" customFormat="false" ht="15" hidden="false" customHeight="false" outlineLevel="0" collapsed="false">
      <c r="B16" s="46" t="n">
        <v>14</v>
      </c>
      <c r="C16" s="83" t="s">
        <v>159</v>
      </c>
      <c r="D16" s="66" t="n">
        <v>2</v>
      </c>
      <c r="E16" s="66" t="n">
        <v>2</v>
      </c>
      <c r="F16" s="66" t="n">
        <v>2</v>
      </c>
      <c r="G16" s="66" t="n">
        <v>2</v>
      </c>
      <c r="H16" s="66" t="n">
        <v>2</v>
      </c>
      <c r="I16" s="88"/>
      <c r="J16" s="51" t="s">
        <v>79</v>
      </c>
      <c r="K16" s="52" t="s">
        <v>100</v>
      </c>
    </row>
    <row r="17" customFormat="false" ht="15" hidden="false" customHeight="false" outlineLevel="0" collapsed="false">
      <c r="B17" s="46" t="n">
        <v>15</v>
      </c>
      <c r="C17" s="83" t="s">
        <v>101</v>
      </c>
      <c r="D17" s="66" t="n">
        <f aca="false">(D5+D7+D9)*2</f>
        <v>45633.17625</v>
      </c>
      <c r="E17" s="66" t="n">
        <f aca="false">(E5+E7+E9)*2</f>
        <v>50195.243875</v>
      </c>
      <c r="F17" s="66" t="n">
        <f aca="false">(F5+F7+F9)*2</f>
        <v>55213.4557625</v>
      </c>
      <c r="G17" s="66" t="n">
        <f aca="false">(G5+G7+G9)*2</f>
        <v>60733.42321375</v>
      </c>
      <c r="H17" s="66" t="n">
        <f aca="false">(H5+H7+H9)*2</f>
        <v>66805.318503875</v>
      </c>
      <c r="I17" s="66"/>
      <c r="J17" s="66" t="s">
        <v>102</v>
      </c>
      <c r="K17" s="65" t="s">
        <v>103</v>
      </c>
    </row>
    <row r="18" customFormat="false" ht="15" hidden="false" customHeight="false" outlineLevel="0" collapsed="false">
      <c r="B18" s="46" t="n">
        <v>16</v>
      </c>
      <c r="C18" s="83" t="s">
        <v>160</v>
      </c>
      <c r="D18" s="66" t="s">
        <v>111</v>
      </c>
      <c r="E18" s="66" t="s">
        <v>111</v>
      </c>
      <c r="F18" s="66" t="s">
        <v>111</v>
      </c>
      <c r="G18" s="66" t="s">
        <v>111</v>
      </c>
      <c r="H18" s="66" t="s">
        <v>111</v>
      </c>
      <c r="I18" s="66"/>
      <c r="J18" s="66" t="s">
        <v>106</v>
      </c>
      <c r="K18" s="65" t="s">
        <v>107</v>
      </c>
    </row>
    <row r="19" customFormat="false" ht="15" hidden="false" customHeight="false" outlineLevel="0" collapsed="false">
      <c r="B19" s="46" t="n">
        <v>17</v>
      </c>
      <c r="C19" s="83" t="s">
        <v>161</v>
      </c>
      <c r="D19" s="66" t="n">
        <f aca="false">D4</f>
        <v>4650</v>
      </c>
      <c r="E19" s="66" t="n">
        <f aca="false">E4</f>
        <v>4882.5</v>
      </c>
      <c r="F19" s="66" t="n">
        <f aca="false">F4</f>
        <v>5126.625</v>
      </c>
      <c r="G19" s="66" t="n">
        <f aca="false">G4</f>
        <v>5382.95625</v>
      </c>
      <c r="H19" s="66" t="n">
        <f aca="false">H4</f>
        <v>5652.1040625</v>
      </c>
      <c r="I19" s="66"/>
      <c r="J19" s="66" t="s">
        <v>102</v>
      </c>
      <c r="K19" s="65" t="s">
        <v>109</v>
      </c>
    </row>
    <row r="20" customFormat="false" ht="15" hidden="false" customHeight="false" outlineLevel="0" collapsed="false">
      <c r="B20" s="46" t="n">
        <v>18</v>
      </c>
      <c r="C20" s="83" t="s">
        <v>110</v>
      </c>
      <c r="D20" s="66" t="s">
        <v>111</v>
      </c>
      <c r="E20" s="66" t="s">
        <v>111</v>
      </c>
      <c r="F20" s="66" t="s">
        <v>111</v>
      </c>
      <c r="G20" s="66" t="s">
        <v>111</v>
      </c>
      <c r="H20" s="66" t="s">
        <v>111</v>
      </c>
      <c r="I20" s="66"/>
      <c r="J20" s="66" t="s">
        <v>106</v>
      </c>
      <c r="K20" s="65" t="s">
        <v>107</v>
      </c>
    </row>
    <row r="21" customFormat="false" ht="15" hidden="false" customHeight="false" outlineLevel="0" collapsed="false">
      <c r="B21" s="46" t="n">
        <v>19</v>
      </c>
      <c r="C21" s="83" t="s">
        <v>112</v>
      </c>
      <c r="D21" s="66" t="n">
        <f aca="false">D5/10</f>
        <v>1611.6588125</v>
      </c>
      <c r="E21" s="66" t="n">
        <f aca="false">E5/10</f>
        <v>1772.82469375</v>
      </c>
      <c r="F21" s="66" t="n">
        <f aca="false">F5/10</f>
        <v>1950.107163125</v>
      </c>
      <c r="G21" s="66" t="n">
        <f aca="false">G5/10</f>
        <v>2145.1178794375</v>
      </c>
      <c r="H21" s="66" t="n">
        <f aca="false">H5/10</f>
        <v>2359.62966738125</v>
      </c>
      <c r="I21" s="66"/>
      <c r="J21" s="66" t="s">
        <v>102</v>
      </c>
      <c r="K21" s="65" t="s">
        <v>113</v>
      </c>
    </row>
    <row r="22" customFormat="false" ht="15" hidden="false" customHeight="false" outlineLevel="0" collapsed="false">
      <c r="B22" s="46" t="n">
        <v>20</v>
      </c>
      <c r="C22" s="83" t="s">
        <v>114</v>
      </c>
      <c r="D22" s="66" t="n">
        <f aca="false">0.1*(D7+D9+D5)</f>
        <v>2281.6588125</v>
      </c>
      <c r="E22" s="66" t="n">
        <f aca="false">0.1*(E7+E9+E5)</f>
        <v>2509.76219375</v>
      </c>
      <c r="F22" s="66" t="n">
        <f aca="false">0.1*(F7+F9+F5)</f>
        <v>2760.672788125</v>
      </c>
      <c r="G22" s="66" t="n">
        <f aca="false">0.1*(G7+G9+G5)</f>
        <v>3036.6711606875</v>
      </c>
      <c r="H22" s="66" t="n">
        <f aca="false">0.1*(H7+H9+H5)</f>
        <v>3340.26592519375</v>
      </c>
      <c r="I22" s="66"/>
      <c r="J22" s="66" t="s">
        <v>102</v>
      </c>
      <c r="K22" s="65" t="s">
        <v>115</v>
      </c>
    </row>
    <row r="23" customFormat="false" ht="15" hidden="false" customHeight="false" outlineLevel="0" collapsed="false">
      <c r="B23" s="46" t="n">
        <v>21</v>
      </c>
      <c r="C23" s="83" t="s">
        <v>116</v>
      </c>
      <c r="D23" s="66" t="n">
        <f aca="false">0.1*(D7+D9+D5)</f>
        <v>2281.6588125</v>
      </c>
      <c r="E23" s="66" t="n">
        <f aca="false">0.1*(E7+E9+E5)</f>
        <v>2509.76219375</v>
      </c>
      <c r="F23" s="66" t="n">
        <f aca="false">0.1*(F7+F9+F5)</f>
        <v>2760.672788125</v>
      </c>
      <c r="G23" s="66" t="n">
        <f aca="false">0.1*(G7+G9+G5)</f>
        <v>3036.6711606875</v>
      </c>
      <c r="H23" s="66" t="n">
        <f aca="false">0.1*(H7+H9+H5)</f>
        <v>3340.26592519375</v>
      </c>
      <c r="I23" s="66"/>
      <c r="J23" s="66" t="s">
        <v>102</v>
      </c>
      <c r="K23" s="65" t="s">
        <v>117</v>
      </c>
    </row>
    <row r="24" customFormat="false" ht="15" hidden="false" customHeight="false" outlineLevel="0" collapsed="false">
      <c r="B24" s="46" t="n">
        <v>22</v>
      </c>
      <c r="C24" s="83" t="s">
        <v>162</v>
      </c>
      <c r="D24" s="66" t="n">
        <f aca="false">D7+D9</f>
        <v>6700</v>
      </c>
      <c r="E24" s="66" t="n">
        <f aca="false">E7+E9</f>
        <v>7369.375</v>
      </c>
      <c r="F24" s="66" t="n">
        <f aca="false">F7+F9</f>
        <v>8105.65625</v>
      </c>
      <c r="G24" s="66" t="n">
        <f aca="false">G7+G9</f>
        <v>8915.5328125</v>
      </c>
      <c r="H24" s="66" t="n">
        <f aca="false">H7+H9</f>
        <v>9806.36257812501</v>
      </c>
      <c r="I24" s="66"/>
      <c r="J24" s="66" t="s">
        <v>102</v>
      </c>
      <c r="K24" s="65" t="s">
        <v>119</v>
      </c>
    </row>
    <row r="25" customFormat="false" ht="15" hidden="false" customHeight="false" outlineLevel="0" collapsed="false">
      <c r="B25" s="46" t="n">
        <v>23</v>
      </c>
      <c r="C25" s="83" t="s">
        <v>163</v>
      </c>
      <c r="D25" s="66" t="n">
        <v>100000</v>
      </c>
      <c r="E25" s="66" t="n">
        <v>100000</v>
      </c>
      <c r="F25" s="66" t="n">
        <v>100000</v>
      </c>
      <c r="G25" s="66" t="n">
        <v>100000</v>
      </c>
      <c r="H25" s="66" t="n">
        <v>100000</v>
      </c>
      <c r="I25" s="66"/>
      <c r="J25" s="66" t="s">
        <v>79</v>
      </c>
      <c r="K25" s="65" t="s">
        <v>121</v>
      </c>
    </row>
    <row r="26" customFormat="false" ht="15" hidden="false" customHeight="false" outlineLevel="0" collapsed="false">
      <c r="B26" s="46" t="n">
        <v>24</v>
      </c>
      <c r="C26" s="83" t="s">
        <v>164</v>
      </c>
      <c r="D26" s="66" t="n">
        <f aca="false">D21+D22+D24</f>
        <v>10593.317625</v>
      </c>
      <c r="E26" s="66" t="n">
        <f aca="false">E21+E22+E24</f>
        <v>11651.9618875</v>
      </c>
      <c r="F26" s="66" t="n">
        <f aca="false">F21+F22+F24</f>
        <v>12816.43620125</v>
      </c>
      <c r="G26" s="66" t="n">
        <f aca="false">G21+G22+G24</f>
        <v>14097.321852625</v>
      </c>
      <c r="H26" s="66" t="n">
        <f aca="false">H21+H22+H24</f>
        <v>15506.2581707</v>
      </c>
      <c r="I26" s="66"/>
      <c r="J26" s="66" t="s">
        <v>102</v>
      </c>
      <c r="K26" s="65" t="s">
        <v>123</v>
      </c>
    </row>
    <row r="27" customFormat="false" ht="15" hidden="false" customHeight="false" outlineLevel="0" collapsed="false">
      <c r="B27" s="46" t="n">
        <v>25</v>
      </c>
      <c r="C27" s="83" t="s">
        <v>165</v>
      </c>
      <c r="D27" s="66" t="n">
        <f aca="false">0.1*(D7+D9+D5)</f>
        <v>2281.6588125</v>
      </c>
      <c r="E27" s="66" t="n">
        <f aca="false">0.1*(E7+E9+E5)</f>
        <v>2509.76219375</v>
      </c>
      <c r="F27" s="66" t="n">
        <f aca="false">0.1*(F7+F9+F5)</f>
        <v>2760.672788125</v>
      </c>
      <c r="G27" s="66" t="n">
        <f aca="false">0.1*(G7+G9+G5)</f>
        <v>3036.6711606875</v>
      </c>
      <c r="H27" s="66" t="n">
        <f aca="false">0.1*(H7+H9+H5)</f>
        <v>3340.26592519375</v>
      </c>
      <c r="I27" s="66"/>
      <c r="J27" s="66" t="s">
        <v>102</v>
      </c>
      <c r="K27" s="65" t="s">
        <v>125</v>
      </c>
    </row>
    <row r="28" customFormat="false" ht="15" hidden="false" customHeight="false" outlineLevel="0" collapsed="false">
      <c r="B28" s="46"/>
      <c r="C28" s="83"/>
      <c r="D28" s="66"/>
      <c r="E28" s="66"/>
      <c r="F28" s="66"/>
      <c r="G28" s="66"/>
      <c r="H28" s="66"/>
      <c r="I28" s="66"/>
      <c r="J28" s="66"/>
      <c r="K28" s="65"/>
    </row>
    <row r="29" customFormat="false" ht="15" hidden="false" customHeight="false" outlineLevel="0" collapsed="false">
      <c r="B29" s="46"/>
      <c r="C29" s="83"/>
      <c r="D29" s="83"/>
      <c r="E29" s="83"/>
      <c r="F29" s="83"/>
      <c r="G29" s="83"/>
      <c r="H29" s="83"/>
      <c r="I29" s="83"/>
      <c r="J29" s="83"/>
      <c r="K29" s="90"/>
    </row>
    <row r="30" customFormat="false" ht="15" hidden="false" customHeight="false" outlineLevel="0" collapsed="false">
      <c r="B30" s="46"/>
      <c r="C30" s="83"/>
      <c r="D30" s="83"/>
      <c r="E30" s="83"/>
      <c r="F30" s="83"/>
      <c r="G30" s="83"/>
      <c r="H30" s="83"/>
      <c r="I30" s="83"/>
      <c r="J30" s="83"/>
      <c r="K30" s="90"/>
    </row>
    <row r="31" customFormat="false" ht="15" hidden="false" customHeight="false" outlineLevel="0" collapsed="false">
      <c r="B31" s="46"/>
      <c r="C31" s="83"/>
      <c r="D31" s="83"/>
      <c r="E31" s="83"/>
      <c r="F31" s="83"/>
      <c r="G31" s="83"/>
      <c r="H31" s="83"/>
      <c r="I31" s="83"/>
      <c r="J31" s="83"/>
      <c r="K31" s="90"/>
    </row>
    <row r="32" customFormat="false" ht="15" hidden="false" customHeight="false" outlineLevel="0" collapsed="false">
      <c r="B32" s="46"/>
      <c r="C32" s="83"/>
      <c r="D32" s="83"/>
      <c r="E32" s="83"/>
      <c r="F32" s="83"/>
      <c r="G32" s="83"/>
      <c r="H32" s="83"/>
      <c r="I32" s="83"/>
      <c r="J32" s="83"/>
      <c r="K32" s="90"/>
    </row>
    <row r="33" s="38" customFormat="true" ht="15.75" hidden="false" customHeight="false" outlineLevel="0" collapsed="false"/>
    <row r="34" s="38" customFormat="true" ht="15" hidden="false" customHeight="false" outlineLevel="0" collapsed="false"/>
    <row r="35" s="38" customFormat="true" ht="15" hidden="false" customHeight="false" outlineLevel="0" collapsed="false"/>
    <row r="36" s="38" customFormat="true" ht="15" hidden="false" customHeight="false" outlineLevel="0" collapsed="false"/>
    <row r="37" s="38" customFormat="true" ht="15" hidden="false" customHeight="false" outlineLevel="0" collapsed="false"/>
    <row r="38" s="38" customFormat="true" ht="15" hidden="false" customHeight="false" outlineLevel="0" collapsed="false"/>
    <row r="39" s="38" customFormat="true" ht="15" hidden="false" customHeight="false" outlineLevel="0" collapsed="false"/>
    <row r="40" s="38" customFormat="true" ht="15" hidden="false" customHeight="false" outlineLevel="0" collapsed="false"/>
    <row r="41" s="38" customFormat="true" ht="15" hidden="false" customHeight="true" outlineLevel="0" collapsed="false"/>
    <row r="42" s="38" customFormat="true" ht="16.5" hidden="false" customHeight="true" outlineLevel="0" collapsed="false"/>
    <row r="43" s="38" customFormat="true" ht="15" hidden="false" customHeight="false" outlineLevel="0" collapsed="false"/>
    <row r="44" s="38" customFormat="true" ht="15" hidden="false" customHeight="false" outlineLevel="0" collapsed="false"/>
    <row r="45" s="38" customFormat="true" ht="15" hidden="false" customHeight="false" outlineLevel="0" collapsed="false"/>
    <row r="46" s="38" customFormat="true" ht="15" hidden="false" customHeight="false" outlineLevel="0" collapsed="false"/>
    <row r="47" s="38" customFormat="true" ht="15" hidden="false" customHeight="false" outlineLevel="0" collapsed="false"/>
    <row r="48" s="38" customFormat="true" ht="15" hidden="false" customHeight="false" outlineLevel="0" collapsed="false"/>
    <row r="49" s="38" customFormat="true" ht="15" hidden="false" customHeight="false" outlineLevel="0" collapsed="false"/>
    <row r="50" s="38" customFormat="true" ht="15" hidden="false" customHeight="false" outlineLevel="0" collapsed="false"/>
    <row r="51" s="38" customFormat="true" ht="15" hidden="false" customHeight="false" outlineLevel="0" collapsed="false"/>
    <row r="52" s="38" customFormat="true" ht="15" hidden="false" customHeight="false" outlineLevel="0" collapsed="false"/>
    <row r="53" s="38" customFormat="true" ht="15" hidden="false" customHeight="false" outlineLevel="0" collapsed="false"/>
    <row r="54" s="38" customFormat="true" ht="15" hidden="false" customHeight="false" outlineLevel="0" collapsed="false"/>
    <row r="55" s="38" customFormat="true" ht="15" hidden="false" customHeight="false" outlineLevel="0" collapsed="false"/>
    <row r="56" s="38" customFormat="true" ht="15" hidden="false" customHeight="false" outlineLevel="0" collapsed="false"/>
    <row r="57" s="38" customFormat="true" ht="15" hidden="false" customHeight="false" outlineLevel="0" collapsed="false"/>
    <row r="58" s="38" customFormat="true" ht="15" hidden="false" customHeight="false" outlineLevel="0" collapsed="false"/>
    <row r="59" s="38" customFormat="true" ht="15" hidden="false" customHeight="false" outlineLevel="0" collapsed="false"/>
    <row r="60" s="38" customFormat="true" ht="15" hidden="false" customHeight="false" outlineLevel="0" collapsed="false"/>
    <row r="61" s="38" customFormat="true" ht="15" hidden="false" customHeight="false" outlineLevel="0" collapsed="false"/>
    <row r="62" s="38" customFormat="true" ht="15" hidden="false" customHeight="false" outlineLevel="0" collapsed="false"/>
    <row r="63" s="38" customFormat="true" ht="15" hidden="false" customHeight="false" outlineLevel="0" collapsed="false"/>
    <row r="64" s="38" customFormat="true" ht="15" hidden="false" customHeight="false" outlineLevel="0" collapsed="false"/>
    <row r="65" s="38" customFormat="true" ht="15" hidden="false" customHeight="false" outlineLevel="0" collapsed="false"/>
    <row r="66" s="38" customFormat="true" ht="15" hidden="false" customHeight="false" outlineLevel="0" collapsed="false"/>
  </sheetData>
  <sheetProtection algorithmName="SHA-512" hashValue="NSwAu327TBO4Un8K2A5Pk87sPLaeKK+f0IpCix6fg6ZTfkWRjQOVJAq4gQBPwmiqtW65jlPgzF4E4oiPZv9ltw==" saltValue="aqQFf/6pvQkv2zzEJ0Babg==" spinCount="100000" sheet="true" objects="true" scenario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W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6796875" defaultRowHeight="15" zeroHeight="false" outlineLevelRow="0" outlineLevelCol="0"/>
  <cols>
    <col collapsed="false" customWidth="true" hidden="false" outlineLevel="0" max="1" min="1" style="1" width="3.57"/>
    <col collapsed="false" customWidth="true" hidden="false" outlineLevel="0" max="2" min="2" style="1" width="26.29"/>
    <col collapsed="false" customWidth="true" hidden="false" outlineLevel="0" max="3" min="3" style="1" width="48.29"/>
    <col collapsed="false" customWidth="true" hidden="false" outlineLevel="0" max="4" min="4" style="91" width="9.86"/>
    <col collapsed="false" customWidth="true" hidden="false" outlineLevel="0" max="5" min="5" style="1" width="7.29"/>
    <col collapsed="false" customWidth="true" hidden="false" outlineLevel="0" max="6" min="6" style="1" width="8.86"/>
    <col collapsed="false" customWidth="true" hidden="false" outlineLevel="0" max="7" min="7" style="1" width="7.86"/>
    <col collapsed="false" customWidth="true" hidden="false" outlineLevel="0" max="8" min="8" style="91" width="8.86"/>
    <col collapsed="false" customWidth="true" hidden="false" outlineLevel="0" max="10" min="10" style="1" width="8.86"/>
    <col collapsed="false" customWidth="true" hidden="false" outlineLevel="0" max="11" min="11" style="1" width="10.42"/>
    <col collapsed="false" customWidth="true" hidden="false" outlineLevel="0" max="13" min="13" style="1" width="13.15"/>
    <col collapsed="false" customWidth="true" hidden="false" outlineLevel="0" max="14" min="14" style="1" width="10.42"/>
    <col collapsed="false" customWidth="true" hidden="false" outlineLevel="0" max="16" min="16" style="1" width="13.15"/>
    <col collapsed="false" customWidth="true" hidden="false" outlineLevel="0" max="17" min="17" style="1" width="10.42"/>
    <col collapsed="false" customWidth="true" hidden="false" outlineLevel="0" max="19" min="19" style="1" width="13.15"/>
    <col collapsed="false" customWidth="true" hidden="false" outlineLevel="0" max="20" min="20" style="1" width="10.42"/>
    <col collapsed="false" customWidth="true" hidden="false" outlineLevel="0" max="22" min="22" style="1" width="13.15"/>
    <col collapsed="false" customWidth="true" hidden="false" outlineLevel="0" max="23" min="23" style="1" width="34.42"/>
    <col collapsed="false" customWidth="true" hidden="false" outlineLevel="0" max="24" min="24" style="1" width="15.71"/>
  </cols>
  <sheetData>
    <row r="2" customFormat="false" ht="15" hidden="false" customHeight="true" outlineLevel="0" collapsed="false">
      <c r="B2" s="92" t="s">
        <v>166</v>
      </c>
      <c r="H2" s="93" t="s">
        <v>167</v>
      </c>
      <c r="I2" s="93"/>
      <c r="J2" s="93"/>
      <c r="K2" s="93"/>
      <c r="L2" s="93"/>
    </row>
    <row r="3" s="94" customFormat="true" ht="23.85" hidden="false" customHeight="false" outlineLevel="0" collapsed="false">
      <c r="B3" s="45" t="s">
        <v>168</v>
      </c>
      <c r="C3" s="45" t="s">
        <v>169</v>
      </c>
      <c r="D3" s="45" t="s">
        <v>170</v>
      </c>
      <c r="E3" s="45" t="s">
        <v>171</v>
      </c>
      <c r="F3" s="45" t="s">
        <v>172</v>
      </c>
      <c r="H3" s="45" t="s">
        <v>70</v>
      </c>
      <c r="I3" s="45" t="s">
        <v>171</v>
      </c>
      <c r="J3" s="45" t="s">
        <v>172</v>
      </c>
      <c r="K3" s="45" t="s">
        <v>71</v>
      </c>
      <c r="L3" s="45" t="s">
        <v>171</v>
      </c>
      <c r="M3" s="45" t="s">
        <v>172</v>
      </c>
      <c r="N3" s="45" t="s">
        <v>72</v>
      </c>
      <c r="O3" s="45" t="s">
        <v>171</v>
      </c>
      <c r="P3" s="45" t="s">
        <v>172</v>
      </c>
      <c r="Q3" s="45" t="s">
        <v>73</v>
      </c>
      <c r="R3" s="45" t="s">
        <v>171</v>
      </c>
      <c r="S3" s="45" t="s">
        <v>172</v>
      </c>
      <c r="T3" s="45" t="s">
        <v>74</v>
      </c>
      <c r="U3" s="45" t="s">
        <v>171</v>
      </c>
      <c r="V3" s="45" t="s">
        <v>172</v>
      </c>
      <c r="W3" s="45" t="s">
        <v>173</v>
      </c>
    </row>
    <row r="4" customFormat="false" ht="15" hidden="false" customHeight="false" outlineLevel="0" collapsed="false">
      <c r="B4" s="83" t="s">
        <v>174</v>
      </c>
      <c r="C4" s="83" t="s">
        <v>80</v>
      </c>
      <c r="D4" s="95" t="n">
        <v>100</v>
      </c>
      <c r="E4" s="83" t="n">
        <v>1.2</v>
      </c>
      <c r="F4" s="83" t="n">
        <v>2.2</v>
      </c>
      <c r="H4" s="96" t="n">
        <f aca="false">'Per Hour Volumes'!$D4</f>
        <v>4650</v>
      </c>
      <c r="I4" s="97" t="n">
        <f aca="false">H4/D4*E4</f>
        <v>55.8</v>
      </c>
      <c r="J4" s="97" t="n">
        <f aca="false">H4/D4*F4</f>
        <v>102.3</v>
      </c>
      <c r="K4" s="96" t="n">
        <f aca="false">'Per Hour Volumes'!E4</f>
        <v>4882.5</v>
      </c>
      <c r="L4" s="97" t="n">
        <f aca="false">K4/D4*E4</f>
        <v>58.59</v>
      </c>
      <c r="M4" s="97" t="n">
        <f aca="false">K4/D4*F4</f>
        <v>107.415</v>
      </c>
      <c r="N4" s="96" t="n">
        <f aca="false">'Per Hour Volumes'!F4</f>
        <v>5126.625</v>
      </c>
      <c r="O4" s="97" t="n">
        <f aca="false">N4/D4*E4</f>
        <v>61.5195</v>
      </c>
      <c r="P4" s="97" t="n">
        <f aca="false">N4/D4*F4</f>
        <v>112.78575</v>
      </c>
      <c r="Q4" s="96" t="n">
        <f aca="false">'Per Hour Volumes'!G4</f>
        <v>5382.95625</v>
      </c>
      <c r="R4" s="97" t="n">
        <f aca="false">Q4/D4*E4</f>
        <v>64.595475</v>
      </c>
      <c r="S4" s="97" t="n">
        <f aca="false">Q4/D4*F4</f>
        <v>118.4250375</v>
      </c>
      <c r="T4" s="96" t="n">
        <f aca="false">'Per Hour Volumes'!H4</f>
        <v>5652.1040625</v>
      </c>
      <c r="U4" s="97" t="n">
        <f aca="false">T4/D4*E4</f>
        <v>67.82524875</v>
      </c>
      <c r="V4" s="97" t="n">
        <f aca="false">T4/D4*F4</f>
        <v>124.346289375</v>
      </c>
      <c r="W4" s="98"/>
    </row>
    <row r="5" customFormat="false" ht="15" hidden="false" customHeight="false" outlineLevel="0" collapsed="false">
      <c r="B5" s="83" t="s">
        <v>175</v>
      </c>
      <c r="C5" s="83" t="s">
        <v>176</v>
      </c>
      <c r="D5" s="95" t="n">
        <v>100</v>
      </c>
      <c r="E5" s="83" t="n">
        <v>0.5</v>
      </c>
      <c r="F5" s="83" t="n">
        <v>2</v>
      </c>
      <c r="H5" s="96" t="n">
        <f aca="false">'Per Hour Volumes'!$D$13</f>
        <v>500</v>
      </c>
      <c r="I5" s="97" t="n">
        <f aca="false">H5/D5*E5</f>
        <v>2.5</v>
      </c>
      <c r="J5" s="97" t="n">
        <f aca="false">H5/D5*F5</f>
        <v>10</v>
      </c>
      <c r="K5" s="96" t="n">
        <f aca="false">'Per Hour Volumes'!$E$13</f>
        <v>525</v>
      </c>
      <c r="L5" s="97" t="n">
        <f aca="false">K5/D5*E5</f>
        <v>2.625</v>
      </c>
      <c r="M5" s="97" t="n">
        <f aca="false">K5/D5*F5</f>
        <v>10.5</v>
      </c>
      <c r="N5" s="96" t="n">
        <f aca="false">'Per Hour Volumes'!$F$13</f>
        <v>551.25</v>
      </c>
      <c r="O5" s="97" t="n">
        <f aca="false">N5/D5*E5</f>
        <v>2.75625</v>
      </c>
      <c r="P5" s="97" t="n">
        <f aca="false">N5/D5*F5</f>
        <v>11.025</v>
      </c>
      <c r="Q5" s="96" t="n">
        <f aca="false">'Per Hour Volumes'!$G$13</f>
        <v>578.8125</v>
      </c>
      <c r="R5" s="97" t="n">
        <f aca="false">Q5/D5*E5</f>
        <v>2.8940625</v>
      </c>
      <c r="S5" s="97" t="n">
        <f aca="false">Q5/D5*F5</f>
        <v>11.57625</v>
      </c>
      <c r="T5" s="96" t="n">
        <f aca="false">'Per Hour Volumes'!$H$13</f>
        <v>607.753125</v>
      </c>
      <c r="U5" s="97" t="n">
        <f aca="false">T5/D5*E5</f>
        <v>3.038765625</v>
      </c>
      <c r="V5" s="97" t="n">
        <f aca="false">T5/D5*F5</f>
        <v>12.1550625</v>
      </c>
      <c r="W5" s="98"/>
    </row>
    <row r="6" customFormat="false" ht="15" hidden="false" customHeight="false" outlineLevel="0" collapsed="false">
      <c r="B6" s="83" t="s">
        <v>177</v>
      </c>
      <c r="C6" s="83" t="s">
        <v>176</v>
      </c>
      <c r="D6" s="95" t="n">
        <v>100</v>
      </c>
      <c r="E6" s="83" t="n">
        <v>0.5</v>
      </c>
      <c r="F6" s="83" t="n">
        <v>2</v>
      </c>
      <c r="H6" s="96" t="n">
        <f aca="false">'Per Hour Volumes'!$D$13</f>
        <v>500</v>
      </c>
      <c r="I6" s="97" t="n">
        <f aca="false">H6/D6*E6</f>
        <v>2.5</v>
      </c>
      <c r="J6" s="97" t="n">
        <f aca="false">H6/D6*F6</f>
        <v>10</v>
      </c>
      <c r="K6" s="96" t="n">
        <f aca="false">'Per Hour Volumes'!$E$13</f>
        <v>525</v>
      </c>
      <c r="L6" s="97" t="n">
        <f aca="false">K6/D6*E6</f>
        <v>2.625</v>
      </c>
      <c r="M6" s="97" t="n">
        <f aca="false">K6/D6*F6</f>
        <v>10.5</v>
      </c>
      <c r="N6" s="96" t="n">
        <f aca="false">'Per Hour Volumes'!$F$13</f>
        <v>551.25</v>
      </c>
      <c r="O6" s="97" t="n">
        <f aca="false">N6/D6*E6</f>
        <v>2.75625</v>
      </c>
      <c r="P6" s="97" t="n">
        <f aca="false">N6/D6*F6</f>
        <v>11.025</v>
      </c>
      <c r="Q6" s="96" t="n">
        <f aca="false">'Per Hour Volumes'!$G$13</f>
        <v>578.8125</v>
      </c>
      <c r="R6" s="97" t="n">
        <f aca="false">Q6/D6*E6</f>
        <v>2.8940625</v>
      </c>
      <c r="S6" s="97" t="n">
        <f aca="false">Q6/D6*F6</f>
        <v>11.57625</v>
      </c>
      <c r="T6" s="96" t="n">
        <f aca="false">'Per Hour Volumes'!$H$13</f>
        <v>607.753125</v>
      </c>
      <c r="U6" s="97" t="n">
        <f aca="false">T6/D6*E6</f>
        <v>3.038765625</v>
      </c>
      <c r="V6" s="97" t="n">
        <f aca="false">T6/D6*F6</f>
        <v>12.1550625</v>
      </c>
      <c r="W6" s="98"/>
    </row>
    <row r="7" customFormat="false" ht="15" hidden="false" customHeight="false" outlineLevel="0" collapsed="false">
      <c r="B7" s="83" t="s">
        <v>178</v>
      </c>
      <c r="C7" s="83" t="s">
        <v>163</v>
      </c>
      <c r="D7" s="95" t="n">
        <v>10000</v>
      </c>
      <c r="E7" s="83" t="n">
        <v>1</v>
      </c>
      <c r="F7" s="83" t="n">
        <v>1</v>
      </c>
      <c r="H7" s="96" t="n">
        <f aca="false">'Per Hour Volumes'!$D$25</f>
        <v>100000</v>
      </c>
      <c r="I7" s="97" t="n">
        <f aca="false">H7/D7*E7</f>
        <v>10</v>
      </c>
      <c r="J7" s="97" t="n">
        <f aca="false">H7/D7*F7</f>
        <v>10</v>
      </c>
      <c r="K7" s="96" t="n">
        <f aca="false">'Per Hour Volumes'!$E$25</f>
        <v>100000</v>
      </c>
      <c r="L7" s="97" t="n">
        <f aca="false">K7/D7*E7</f>
        <v>10</v>
      </c>
      <c r="M7" s="97" t="n">
        <f aca="false">K7/D7*F7</f>
        <v>10</v>
      </c>
      <c r="N7" s="96" t="n">
        <f aca="false">'Per Hour Volumes'!$F$25</f>
        <v>100000</v>
      </c>
      <c r="O7" s="97" t="n">
        <f aca="false">N7/D7*E7</f>
        <v>10</v>
      </c>
      <c r="P7" s="97" t="n">
        <f aca="false">N7/D7*F7</f>
        <v>10</v>
      </c>
      <c r="Q7" s="96" t="n">
        <f aca="false">'Per Hour Volumes'!$G$25</f>
        <v>100000</v>
      </c>
      <c r="R7" s="97" t="n">
        <f aca="false">Q7/D7*E7</f>
        <v>10</v>
      </c>
      <c r="S7" s="97" t="n">
        <f aca="false">Q7/D7*F7</f>
        <v>10</v>
      </c>
      <c r="T7" s="96" t="n">
        <f aca="false">'Per Hour Volumes'!$H$25</f>
        <v>100000</v>
      </c>
      <c r="U7" s="97" t="n">
        <f aca="false">T7/D7*E7</f>
        <v>10</v>
      </c>
      <c r="V7" s="97" t="n">
        <f aca="false">T7/D7*F7</f>
        <v>10</v>
      </c>
      <c r="W7" s="98"/>
    </row>
    <row r="8" customFormat="false" ht="15" hidden="false" customHeight="false" outlineLevel="0" collapsed="false">
      <c r="B8" s="83" t="s">
        <v>179</v>
      </c>
      <c r="C8" s="83" t="s">
        <v>180</v>
      </c>
      <c r="D8" s="95" t="n">
        <v>3600</v>
      </c>
      <c r="E8" s="83" t="n">
        <v>1</v>
      </c>
      <c r="F8" s="83" t="n">
        <v>1</v>
      </c>
      <c r="H8" s="96" t="n">
        <v>3600</v>
      </c>
      <c r="I8" s="97" t="n">
        <f aca="false">H8/D8*E8</f>
        <v>1</v>
      </c>
      <c r="J8" s="97" t="n">
        <f aca="false">H8/D8*F8</f>
        <v>1</v>
      </c>
      <c r="K8" s="96" t="n">
        <v>3600</v>
      </c>
      <c r="L8" s="97" t="n">
        <f aca="false">K8/D8*E8</f>
        <v>1</v>
      </c>
      <c r="M8" s="97" t="n">
        <f aca="false">K8/D8*F8</f>
        <v>1</v>
      </c>
      <c r="N8" s="96" t="n">
        <v>3600</v>
      </c>
      <c r="O8" s="97" t="n">
        <f aca="false">N8/D8*E8</f>
        <v>1</v>
      </c>
      <c r="P8" s="97" t="n">
        <f aca="false">N8/D8*F8</f>
        <v>1</v>
      </c>
      <c r="Q8" s="96" t="n">
        <v>3600</v>
      </c>
      <c r="R8" s="97" t="n">
        <f aca="false">Q8/D8*E8</f>
        <v>1</v>
      </c>
      <c r="S8" s="97" t="n">
        <f aca="false">Q8/D8*F8</f>
        <v>1</v>
      </c>
      <c r="T8" s="96" t="n">
        <v>3600</v>
      </c>
      <c r="U8" s="97" t="n">
        <f aca="false">T8/D8*E8</f>
        <v>1</v>
      </c>
      <c r="V8" s="97" t="n">
        <f aca="false">T8/D8*F8</f>
        <v>1</v>
      </c>
      <c r="W8" s="98"/>
    </row>
    <row r="9" customFormat="false" ht="15" hidden="false" customHeight="false" outlineLevel="0" collapsed="false">
      <c r="B9" s="83" t="s">
        <v>181</v>
      </c>
      <c r="C9" s="83" t="s">
        <v>108</v>
      </c>
      <c r="D9" s="95" t="n">
        <v>3600</v>
      </c>
      <c r="E9" s="83" t="n">
        <v>6</v>
      </c>
      <c r="F9" s="83" t="n">
        <v>6</v>
      </c>
      <c r="H9" s="96" t="n">
        <f aca="false">'Per Hour Volumes'!$D$19</f>
        <v>4650</v>
      </c>
      <c r="I9" s="97" t="n">
        <f aca="false">H9/D9*E9</f>
        <v>7.75</v>
      </c>
      <c r="J9" s="97" t="n">
        <f aca="false">H9/D9*F9</f>
        <v>7.75</v>
      </c>
      <c r="K9" s="96" t="n">
        <f aca="false">'Per Hour Volumes'!$E$19</f>
        <v>4882.5</v>
      </c>
      <c r="L9" s="97" t="n">
        <f aca="false">K9/D9*E9</f>
        <v>8.1375</v>
      </c>
      <c r="M9" s="97" t="n">
        <f aca="false">K9/D9*F9</f>
        <v>8.1375</v>
      </c>
      <c r="N9" s="96" t="n">
        <f aca="false">'Per Hour Volumes'!$F$19</f>
        <v>5126.625</v>
      </c>
      <c r="O9" s="97" t="n">
        <f aca="false">N9/D9*E9</f>
        <v>8.544375</v>
      </c>
      <c r="P9" s="97" t="n">
        <f aca="false">N9/D9*F9</f>
        <v>8.544375</v>
      </c>
      <c r="Q9" s="96" t="n">
        <f aca="false">'Per Hour Volumes'!$G$19</f>
        <v>5382.95625</v>
      </c>
      <c r="R9" s="97" t="n">
        <f aca="false">Q9/D9*E9</f>
        <v>8.97159375</v>
      </c>
      <c r="S9" s="97" t="n">
        <f aca="false">Q9/D9*F9</f>
        <v>8.97159375</v>
      </c>
      <c r="T9" s="96" t="n">
        <f aca="false">'Per Hour Volumes'!$H$19</f>
        <v>5652.1040625</v>
      </c>
      <c r="U9" s="97" t="n">
        <f aca="false">T9/D9*E9</f>
        <v>9.4201734375</v>
      </c>
      <c r="V9" s="97" t="n">
        <f aca="false">T9/D9*F9</f>
        <v>9.4201734375</v>
      </c>
      <c r="W9" s="98"/>
    </row>
    <row r="10" customFormat="false" ht="15" hidden="false" customHeight="false" outlineLevel="0" collapsed="false">
      <c r="B10" s="83" t="s">
        <v>182</v>
      </c>
      <c r="C10" s="83" t="s">
        <v>183</v>
      </c>
      <c r="D10" s="95" t="n">
        <v>3600</v>
      </c>
      <c r="E10" s="83" t="n">
        <v>1</v>
      </c>
      <c r="F10" s="83" t="n">
        <v>1</v>
      </c>
      <c r="H10" s="96" t="n">
        <v>3600</v>
      </c>
      <c r="I10" s="97" t="n">
        <f aca="false">H10/D10*E10</f>
        <v>1</v>
      </c>
      <c r="J10" s="97" t="n">
        <f aca="false">H10/D10*F10</f>
        <v>1</v>
      </c>
      <c r="K10" s="96" t="n">
        <v>3600</v>
      </c>
      <c r="L10" s="97" t="n">
        <f aca="false">K10/D10*E10</f>
        <v>1</v>
      </c>
      <c r="M10" s="97" t="n">
        <f aca="false">K10/D10*F10</f>
        <v>1</v>
      </c>
      <c r="N10" s="96" t="n">
        <v>3600</v>
      </c>
      <c r="O10" s="97" t="n">
        <f aca="false">N10/D10*E10</f>
        <v>1</v>
      </c>
      <c r="P10" s="97" t="n">
        <f aca="false">N10/D10*F10</f>
        <v>1</v>
      </c>
      <c r="Q10" s="96" t="n">
        <v>3600</v>
      </c>
      <c r="R10" s="97" t="n">
        <f aca="false">Q10/D10*E10</f>
        <v>1</v>
      </c>
      <c r="S10" s="97" t="n">
        <f aca="false">Q10/D10*F10</f>
        <v>1</v>
      </c>
      <c r="T10" s="96" t="n">
        <v>3600</v>
      </c>
      <c r="U10" s="97" t="n">
        <f aca="false">T10/D10*E10</f>
        <v>1</v>
      </c>
      <c r="V10" s="97" t="n">
        <f aca="false">T10/D10*F10</f>
        <v>1</v>
      </c>
      <c r="W10" s="98"/>
    </row>
    <row r="11" customFormat="false" ht="15" hidden="false" customHeight="false" outlineLevel="0" collapsed="false">
      <c r="B11" s="83" t="s">
        <v>184</v>
      </c>
      <c r="C11" s="83" t="s">
        <v>165</v>
      </c>
      <c r="D11" s="95" t="n">
        <v>1000</v>
      </c>
      <c r="E11" s="83" t="n">
        <v>0.1</v>
      </c>
      <c r="F11" s="83" t="n">
        <v>0.1</v>
      </c>
      <c r="H11" s="96" t="n">
        <f aca="false">'Per Hour Volumes'!$D$27</f>
        <v>2281.6588125</v>
      </c>
      <c r="I11" s="97" t="n">
        <f aca="false">H11/D11*E11</f>
        <v>0.22816588125</v>
      </c>
      <c r="J11" s="97" t="n">
        <f aca="false">H11/D11*F11</f>
        <v>0.22816588125</v>
      </c>
      <c r="K11" s="96" t="n">
        <f aca="false">'Per Hour Volumes'!$E$27</f>
        <v>2509.76219375</v>
      </c>
      <c r="L11" s="97" t="n">
        <f aca="false">K11/D11*E11</f>
        <v>0.250976219375</v>
      </c>
      <c r="M11" s="97" t="n">
        <f aca="false">K11/D11*F11</f>
        <v>0.250976219375</v>
      </c>
      <c r="N11" s="96" t="n">
        <f aca="false">'Per Hour Volumes'!$F$27</f>
        <v>2760.672788125</v>
      </c>
      <c r="O11" s="97" t="n">
        <f aca="false">N11/D11*E11</f>
        <v>0.2760672788125</v>
      </c>
      <c r="P11" s="97" t="n">
        <f aca="false">N11/D11*F11</f>
        <v>0.2760672788125</v>
      </c>
      <c r="Q11" s="96" t="n">
        <f aca="false">'Per Hour Volumes'!$G$27</f>
        <v>3036.6711606875</v>
      </c>
      <c r="R11" s="97" t="n">
        <f aca="false">Q11/D11*E11</f>
        <v>0.30366711606875</v>
      </c>
      <c r="S11" s="97" t="n">
        <f aca="false">Q11/D11*F11</f>
        <v>0.30366711606875</v>
      </c>
      <c r="T11" s="96" t="n">
        <f aca="false">'Per Hour Volumes'!$H$27</f>
        <v>3340.26592519375</v>
      </c>
      <c r="U11" s="97" t="n">
        <f aca="false">T11/D11*E11</f>
        <v>0.334026592519375</v>
      </c>
      <c r="V11" s="97" t="n">
        <f aca="false">T11/D11*F11</f>
        <v>0.334026592519375</v>
      </c>
      <c r="W11" s="98"/>
    </row>
    <row r="12" customFormat="false" ht="15" hidden="false" customHeight="false" outlineLevel="0" collapsed="false">
      <c r="B12" s="83" t="s">
        <v>185</v>
      </c>
      <c r="C12" s="83" t="s">
        <v>186</v>
      </c>
      <c r="D12" s="95" t="n">
        <v>0</v>
      </c>
      <c r="E12" s="83" t="n">
        <v>0</v>
      </c>
      <c r="F12" s="83" t="n">
        <v>0</v>
      </c>
      <c r="H12" s="96" t="n">
        <v>0</v>
      </c>
      <c r="I12" s="97" t="n">
        <v>0</v>
      </c>
      <c r="J12" s="97" t="n">
        <v>0</v>
      </c>
      <c r="K12" s="96" t="n">
        <v>0</v>
      </c>
      <c r="L12" s="97" t="n">
        <v>0</v>
      </c>
      <c r="M12" s="97" t="n">
        <v>0</v>
      </c>
      <c r="N12" s="96" t="n">
        <v>0</v>
      </c>
      <c r="O12" s="97" t="n">
        <v>0</v>
      </c>
      <c r="P12" s="97" t="n">
        <v>0</v>
      </c>
      <c r="Q12" s="96" t="n">
        <v>0</v>
      </c>
      <c r="R12" s="97" t="n">
        <v>0</v>
      </c>
      <c r="S12" s="97" t="n">
        <v>0</v>
      </c>
      <c r="T12" s="96" t="n">
        <v>0</v>
      </c>
      <c r="U12" s="97" t="n">
        <v>0</v>
      </c>
      <c r="V12" s="97" t="n">
        <v>0</v>
      </c>
      <c r="W12" s="98"/>
    </row>
    <row r="13" customFormat="false" ht="15" hidden="false" customHeight="false" outlineLevel="0" collapsed="false">
      <c r="B13" s="83" t="s">
        <v>187</v>
      </c>
      <c r="C13" s="83" t="s">
        <v>114</v>
      </c>
      <c r="D13" s="95" t="n">
        <v>1000</v>
      </c>
      <c r="E13" s="83" t="n">
        <v>0.1</v>
      </c>
      <c r="F13" s="83" t="n">
        <v>0.1</v>
      </c>
      <c r="H13" s="96" t="n">
        <f aca="false">'Per Hour Volumes'!$D$22</f>
        <v>2281.6588125</v>
      </c>
      <c r="I13" s="97" t="n">
        <f aca="false">H13/D13*E13</f>
        <v>0.22816588125</v>
      </c>
      <c r="J13" s="97" t="n">
        <f aca="false">H13/D13*F13</f>
        <v>0.22816588125</v>
      </c>
      <c r="K13" s="96" t="n">
        <f aca="false">'Per Hour Volumes'!$E$22</f>
        <v>2509.76219375</v>
      </c>
      <c r="L13" s="97" t="n">
        <f aca="false">K13/D13*E13</f>
        <v>0.250976219375</v>
      </c>
      <c r="M13" s="97" t="n">
        <f aca="false">K13/D13*F13</f>
        <v>0.250976219375</v>
      </c>
      <c r="N13" s="96" t="n">
        <f aca="false">'Per Hour Volumes'!$F$22</f>
        <v>2760.672788125</v>
      </c>
      <c r="O13" s="97" t="n">
        <f aca="false">N13/D13*E13</f>
        <v>0.2760672788125</v>
      </c>
      <c r="P13" s="97" t="n">
        <f aca="false">N13/D13*F13</f>
        <v>0.2760672788125</v>
      </c>
      <c r="Q13" s="96" t="n">
        <f aca="false">'Per Hour Volumes'!$G$22</f>
        <v>3036.6711606875</v>
      </c>
      <c r="R13" s="97" t="n">
        <f aca="false">Q13/D13*E13</f>
        <v>0.30366711606875</v>
      </c>
      <c r="S13" s="97" t="n">
        <f aca="false">Q13/D13*F13</f>
        <v>0.30366711606875</v>
      </c>
      <c r="T13" s="96" t="n">
        <f aca="false">'Per Hour Volumes'!$H$22</f>
        <v>3340.26592519375</v>
      </c>
      <c r="U13" s="97" t="n">
        <f aca="false">T13/D13*E13</f>
        <v>0.334026592519375</v>
      </c>
      <c r="V13" s="97" t="n">
        <f aca="false">T13/D13*F13</f>
        <v>0.334026592519375</v>
      </c>
      <c r="W13" s="98"/>
    </row>
    <row r="14" customFormat="false" ht="15" hidden="false" customHeight="false" outlineLevel="0" collapsed="false">
      <c r="B14" s="83" t="s">
        <v>188</v>
      </c>
      <c r="C14" s="83" t="s">
        <v>189</v>
      </c>
      <c r="D14" s="95" t="n">
        <v>1000</v>
      </c>
      <c r="E14" s="83" t="n">
        <v>0.2</v>
      </c>
      <c r="F14" s="83" t="n">
        <v>0.5</v>
      </c>
      <c r="H14" s="96" t="n">
        <f aca="false">'Per Hour Volumes'!$D$24</f>
        <v>6700</v>
      </c>
      <c r="I14" s="97" t="n">
        <f aca="false">H14/D14*E14</f>
        <v>1.34</v>
      </c>
      <c r="J14" s="97" t="n">
        <f aca="false">H14/D14*F14</f>
        <v>3.35</v>
      </c>
      <c r="K14" s="96" t="n">
        <f aca="false">'Per Hour Volumes'!$E$24</f>
        <v>7369.375</v>
      </c>
      <c r="L14" s="97" t="n">
        <f aca="false">K14/D14*E14</f>
        <v>1.473875</v>
      </c>
      <c r="M14" s="97" t="n">
        <f aca="false">K14/D14*F14</f>
        <v>3.6846875</v>
      </c>
      <c r="N14" s="96" t="n">
        <f aca="false">'Per Hour Volumes'!$F$24</f>
        <v>8105.65625</v>
      </c>
      <c r="O14" s="97" t="n">
        <f aca="false">N14/D14*E14</f>
        <v>1.62113125</v>
      </c>
      <c r="P14" s="97" t="n">
        <f aca="false">N14/D14*F14</f>
        <v>4.052828125</v>
      </c>
      <c r="Q14" s="96" t="n">
        <f aca="false">'Per Hour Volumes'!$G$24</f>
        <v>8915.5328125</v>
      </c>
      <c r="R14" s="97" t="n">
        <f aca="false">Q14/D14*E14</f>
        <v>1.7831065625</v>
      </c>
      <c r="S14" s="97" t="n">
        <f aca="false">Q14/D14*F14</f>
        <v>4.45776640625</v>
      </c>
      <c r="T14" s="96" t="n">
        <f aca="false">'Per Hour Volumes'!$H$24</f>
        <v>9806.36257812501</v>
      </c>
      <c r="U14" s="97" t="n">
        <f aca="false">T14/D14*E14</f>
        <v>1.961272515625</v>
      </c>
      <c r="V14" s="97" t="n">
        <f aca="false">T14/D14*F14</f>
        <v>4.9031812890625</v>
      </c>
      <c r="W14" s="98"/>
    </row>
    <row r="15" customFormat="false" ht="15" hidden="false" customHeight="false" outlineLevel="0" collapsed="false">
      <c r="B15" s="83" t="s">
        <v>190</v>
      </c>
      <c r="C15" s="83" t="s">
        <v>114</v>
      </c>
      <c r="D15" s="95" t="n">
        <v>1000</v>
      </c>
      <c r="E15" s="83" t="n">
        <v>0.1</v>
      </c>
      <c r="F15" s="83" t="n">
        <v>0.1</v>
      </c>
      <c r="H15" s="96" t="n">
        <f aca="false">'Per Hour Volumes'!$D$22</f>
        <v>2281.6588125</v>
      </c>
      <c r="I15" s="97" t="n">
        <f aca="false">H15/D15*E15</f>
        <v>0.22816588125</v>
      </c>
      <c r="J15" s="97" t="n">
        <f aca="false">H15/D15*F15</f>
        <v>0.22816588125</v>
      </c>
      <c r="K15" s="96" t="n">
        <f aca="false">'Per Hour Volumes'!$E$22</f>
        <v>2509.76219375</v>
      </c>
      <c r="L15" s="97" t="n">
        <f aca="false">K15/D15*E15</f>
        <v>0.250976219375</v>
      </c>
      <c r="M15" s="97" t="n">
        <f aca="false">K15/D15*F15</f>
        <v>0.250976219375</v>
      </c>
      <c r="N15" s="96" t="n">
        <f aca="false">'Per Hour Volumes'!$F$22</f>
        <v>2760.672788125</v>
      </c>
      <c r="O15" s="97" t="n">
        <f aca="false">N15/D15*E15</f>
        <v>0.2760672788125</v>
      </c>
      <c r="P15" s="97" t="n">
        <f aca="false">N15/D15*F15</f>
        <v>0.2760672788125</v>
      </c>
      <c r="Q15" s="96" t="n">
        <f aca="false">'Per Hour Volumes'!$G$22</f>
        <v>3036.6711606875</v>
      </c>
      <c r="R15" s="97" t="n">
        <f aca="false">Q15/D15*E15</f>
        <v>0.30366711606875</v>
      </c>
      <c r="S15" s="97" t="n">
        <f aca="false">Q15/D15*F15</f>
        <v>0.30366711606875</v>
      </c>
      <c r="T15" s="96" t="n">
        <f aca="false">'Per Hour Volumes'!$H$22</f>
        <v>3340.26592519375</v>
      </c>
      <c r="U15" s="97" t="n">
        <f aca="false">T15/D15*E15</f>
        <v>0.334026592519375</v>
      </c>
      <c r="V15" s="97" t="n">
        <f aca="false">T15/D15*F15</f>
        <v>0.334026592519375</v>
      </c>
      <c r="W15" s="98"/>
    </row>
    <row r="16" customFormat="false" ht="15" hidden="false" customHeight="false" outlineLevel="0" collapsed="false">
      <c r="B16" s="83" t="s">
        <v>191</v>
      </c>
      <c r="C16" s="83" t="s">
        <v>164</v>
      </c>
      <c r="D16" s="95" t="n">
        <v>1000</v>
      </c>
      <c r="E16" s="83" t="n">
        <v>0.2</v>
      </c>
      <c r="F16" s="83" t="n">
        <v>0.4</v>
      </c>
      <c r="H16" s="96" t="n">
        <f aca="false">'Per Hour Volumes'!$D$26</f>
        <v>10593.317625</v>
      </c>
      <c r="I16" s="97" t="n">
        <f aca="false">H16/D16*E16</f>
        <v>2.118663525</v>
      </c>
      <c r="J16" s="97" t="n">
        <f aca="false">H16/D16*F16</f>
        <v>4.23732705</v>
      </c>
      <c r="K16" s="96" t="n">
        <f aca="false">'Per Hour Volumes'!$E$26</f>
        <v>11651.9618875</v>
      </c>
      <c r="L16" s="97" t="n">
        <f aca="false">K16/D16*E16</f>
        <v>2.3303923775</v>
      </c>
      <c r="M16" s="97" t="n">
        <f aca="false">K16/D16*F16</f>
        <v>4.660784755</v>
      </c>
      <c r="N16" s="96" t="n">
        <f aca="false">'Per Hour Volumes'!$F$26</f>
        <v>12816.43620125</v>
      </c>
      <c r="O16" s="97" t="n">
        <f aca="false">N16/D16*E16</f>
        <v>2.56328724025</v>
      </c>
      <c r="P16" s="97" t="n">
        <f aca="false">N16/D16*F16</f>
        <v>5.1265744805</v>
      </c>
      <c r="Q16" s="96" t="n">
        <f aca="false">'Per Hour Volumes'!$G$26</f>
        <v>14097.321852625</v>
      </c>
      <c r="R16" s="97" t="n">
        <f aca="false">Q16/D16*E16</f>
        <v>2.819464370525</v>
      </c>
      <c r="S16" s="97" t="n">
        <f aca="false">Q16/D16*F16</f>
        <v>5.63892874105</v>
      </c>
      <c r="T16" s="96" t="n">
        <f aca="false">'Per Hour Volumes'!$H$26</f>
        <v>15506.2581707</v>
      </c>
      <c r="U16" s="97" t="n">
        <f aca="false">T16/D16*E16</f>
        <v>3.10125163414</v>
      </c>
      <c r="V16" s="97" t="n">
        <f aca="false">T16/D16*F16</f>
        <v>6.20250326828</v>
      </c>
      <c r="W16" s="98"/>
    </row>
    <row r="17" customFormat="false" ht="15" hidden="false" customHeight="false" outlineLevel="0" collapsed="false">
      <c r="B17" s="83" t="s">
        <v>192</v>
      </c>
      <c r="C17" s="83" t="s">
        <v>193</v>
      </c>
      <c r="D17" s="95" t="n">
        <v>1000</v>
      </c>
      <c r="E17" s="83" t="n">
        <v>0.2</v>
      </c>
      <c r="F17" s="83" t="n">
        <v>0.2</v>
      </c>
      <c r="H17" s="96" t="n">
        <f aca="false">'Per Hour Volumes'!$D$21</f>
        <v>1611.6588125</v>
      </c>
      <c r="I17" s="97" t="n">
        <f aca="false">H17/D17*E17</f>
        <v>0.3223317625</v>
      </c>
      <c r="J17" s="97" t="n">
        <f aca="false">H17/D17*F17</f>
        <v>0.3223317625</v>
      </c>
      <c r="K17" s="96" t="n">
        <f aca="false">'Per Hour Volumes'!$E$21</f>
        <v>1772.82469375</v>
      </c>
      <c r="L17" s="97" t="n">
        <f aca="false">K17/D17*E17</f>
        <v>0.35456493875</v>
      </c>
      <c r="M17" s="97" t="n">
        <f aca="false">K17/D17*F17</f>
        <v>0.35456493875</v>
      </c>
      <c r="N17" s="96" t="n">
        <f aca="false">'Per Hour Volumes'!$F$21</f>
        <v>1950.107163125</v>
      </c>
      <c r="O17" s="97" t="n">
        <f aca="false">N17/D17*E17</f>
        <v>0.390021432625</v>
      </c>
      <c r="P17" s="97" t="n">
        <f aca="false">N17/D17*F17</f>
        <v>0.390021432625</v>
      </c>
      <c r="Q17" s="96" t="n">
        <f aca="false">'Per Hour Volumes'!$G$21</f>
        <v>2145.1178794375</v>
      </c>
      <c r="R17" s="97" t="n">
        <f aca="false">Q17/D17*E17</f>
        <v>0.4290235758875</v>
      </c>
      <c r="S17" s="97" t="n">
        <f aca="false">Q17/D17*F17</f>
        <v>0.4290235758875</v>
      </c>
      <c r="T17" s="96" t="n">
        <f aca="false">'Per Hour Volumes'!$H$21</f>
        <v>2359.62966738125</v>
      </c>
      <c r="U17" s="97" t="n">
        <f aca="false">T17/D17*E17</f>
        <v>0.47192593347625</v>
      </c>
      <c r="V17" s="97" t="n">
        <f aca="false">T17/D17*F17</f>
        <v>0.47192593347625</v>
      </c>
      <c r="W17" s="98"/>
    </row>
    <row r="18" customFormat="false" ht="15" hidden="false" customHeight="false" outlineLevel="0" collapsed="false">
      <c r="B18" s="83" t="s">
        <v>194</v>
      </c>
      <c r="C18" s="83" t="s">
        <v>193</v>
      </c>
      <c r="D18" s="95" t="n">
        <v>1000</v>
      </c>
      <c r="E18" s="83" t="n">
        <v>0.1</v>
      </c>
      <c r="F18" s="83" t="n">
        <v>0.1</v>
      </c>
      <c r="H18" s="96" t="n">
        <f aca="false">'Per Hour Volumes'!$D$21</f>
        <v>1611.6588125</v>
      </c>
      <c r="I18" s="97" t="n">
        <f aca="false">H18/D18*E18</f>
        <v>0.16116588125</v>
      </c>
      <c r="J18" s="97" t="n">
        <f aca="false">H18/D18*F18</f>
        <v>0.16116588125</v>
      </c>
      <c r="K18" s="96" t="n">
        <f aca="false">'Per Hour Volumes'!$E$21</f>
        <v>1772.82469375</v>
      </c>
      <c r="L18" s="97" t="n">
        <f aca="false">K18/D18*E18</f>
        <v>0.177282469375</v>
      </c>
      <c r="M18" s="97" t="n">
        <f aca="false">K18/D18*F18</f>
        <v>0.177282469375</v>
      </c>
      <c r="N18" s="96" t="n">
        <f aca="false">'Per Hour Volumes'!$F$21</f>
        <v>1950.107163125</v>
      </c>
      <c r="O18" s="97" t="n">
        <f aca="false">N18/D18*E18</f>
        <v>0.1950107163125</v>
      </c>
      <c r="P18" s="97" t="n">
        <f aca="false">N18/D18*F18</f>
        <v>0.1950107163125</v>
      </c>
      <c r="Q18" s="96" t="n">
        <f aca="false">'Per Hour Volumes'!$G$21</f>
        <v>2145.1178794375</v>
      </c>
      <c r="R18" s="97" t="n">
        <f aca="false">Q18/D18*E18</f>
        <v>0.21451178794375</v>
      </c>
      <c r="S18" s="97" t="n">
        <f aca="false">Q18/D18*F18</f>
        <v>0.21451178794375</v>
      </c>
      <c r="T18" s="96" t="n">
        <f aca="false">'Per Hour Volumes'!$H$21</f>
        <v>2359.62966738125</v>
      </c>
      <c r="U18" s="97" t="n">
        <f aca="false">T18/D18*E18</f>
        <v>0.235962966738125</v>
      </c>
      <c r="V18" s="97" t="n">
        <f aca="false">T18/D18*F18</f>
        <v>0.235962966738125</v>
      </c>
      <c r="W18" s="98"/>
    </row>
    <row r="19" customFormat="false" ht="15" hidden="false" customHeight="false" outlineLevel="0" collapsed="false">
      <c r="B19" s="83" t="s">
        <v>195</v>
      </c>
      <c r="C19" s="83" t="s">
        <v>193</v>
      </c>
      <c r="D19" s="95" t="n">
        <v>1000</v>
      </c>
      <c r="E19" s="83" t="n">
        <v>0.1</v>
      </c>
      <c r="F19" s="83" t="n">
        <v>0.1</v>
      </c>
      <c r="H19" s="96" t="n">
        <f aca="false">'Per Hour Volumes'!$D$21</f>
        <v>1611.6588125</v>
      </c>
      <c r="I19" s="97" t="n">
        <f aca="false">H19/D19*E19</f>
        <v>0.16116588125</v>
      </c>
      <c r="J19" s="97" t="n">
        <f aca="false">H19/D19*F19</f>
        <v>0.16116588125</v>
      </c>
      <c r="K19" s="96" t="n">
        <f aca="false">'Per Hour Volumes'!$E$21</f>
        <v>1772.82469375</v>
      </c>
      <c r="L19" s="97" t="n">
        <f aca="false">K19/D19*E19</f>
        <v>0.177282469375</v>
      </c>
      <c r="M19" s="97" t="n">
        <f aca="false">K19/D19*F19</f>
        <v>0.177282469375</v>
      </c>
      <c r="N19" s="96" t="n">
        <f aca="false">'Per Hour Volumes'!$F$21</f>
        <v>1950.107163125</v>
      </c>
      <c r="O19" s="97" t="n">
        <f aca="false">N19/D19*E19</f>
        <v>0.1950107163125</v>
      </c>
      <c r="P19" s="97" t="n">
        <f aca="false">N19/D19*F19</f>
        <v>0.1950107163125</v>
      </c>
      <c r="Q19" s="96" t="n">
        <f aca="false">'Per Hour Volumes'!$G$21</f>
        <v>2145.1178794375</v>
      </c>
      <c r="R19" s="97" t="n">
        <f aca="false">Q19/D19*E19</f>
        <v>0.21451178794375</v>
      </c>
      <c r="S19" s="97" t="n">
        <f aca="false">Q19/D19*F19</f>
        <v>0.21451178794375</v>
      </c>
      <c r="T19" s="96" t="n">
        <f aca="false">'Per Hour Volumes'!$H$21</f>
        <v>2359.62966738125</v>
      </c>
      <c r="U19" s="97" t="n">
        <f aca="false">T19/D19*E19</f>
        <v>0.235962966738125</v>
      </c>
      <c r="V19" s="97" t="n">
        <f aca="false">T19/D19*F19</f>
        <v>0.235962966738125</v>
      </c>
      <c r="W19" s="98"/>
    </row>
    <row r="20" customFormat="false" ht="15" hidden="false" customHeight="false" outlineLevel="0" collapsed="false">
      <c r="B20" s="83" t="s">
        <v>196</v>
      </c>
      <c r="C20" s="83" t="s">
        <v>193</v>
      </c>
      <c r="D20" s="95" t="n">
        <v>1000</v>
      </c>
      <c r="E20" s="83" t="n">
        <v>0.1</v>
      </c>
      <c r="F20" s="83" t="n">
        <v>0.1</v>
      </c>
      <c r="H20" s="96" t="n">
        <f aca="false">'Per Hour Volumes'!$D$21</f>
        <v>1611.6588125</v>
      </c>
      <c r="I20" s="97" t="n">
        <f aca="false">H20/D20*E20</f>
        <v>0.16116588125</v>
      </c>
      <c r="J20" s="97" t="n">
        <f aca="false">H20/D20*F20</f>
        <v>0.16116588125</v>
      </c>
      <c r="K20" s="96" t="n">
        <f aca="false">'Per Hour Volumes'!$E$21</f>
        <v>1772.82469375</v>
      </c>
      <c r="L20" s="97" t="n">
        <f aca="false">K20/D20*E20</f>
        <v>0.177282469375</v>
      </c>
      <c r="M20" s="97" t="n">
        <f aca="false">K20/D20*F20</f>
        <v>0.177282469375</v>
      </c>
      <c r="N20" s="96" t="n">
        <f aca="false">'Per Hour Volumes'!$F$21</f>
        <v>1950.107163125</v>
      </c>
      <c r="O20" s="97" t="n">
        <f aca="false">N20/D20*E20</f>
        <v>0.1950107163125</v>
      </c>
      <c r="P20" s="97" t="n">
        <f aca="false">N20/D20*F20</f>
        <v>0.1950107163125</v>
      </c>
      <c r="Q20" s="96" t="n">
        <f aca="false">'Per Hour Volumes'!$G$21</f>
        <v>2145.1178794375</v>
      </c>
      <c r="R20" s="97" t="n">
        <f aca="false">Q20/D20*E20</f>
        <v>0.21451178794375</v>
      </c>
      <c r="S20" s="97" t="n">
        <f aca="false">Q20/D20*F20</f>
        <v>0.21451178794375</v>
      </c>
      <c r="T20" s="96" t="n">
        <f aca="false">'Per Hour Volumes'!$H$21</f>
        <v>2359.62966738125</v>
      </c>
      <c r="U20" s="97" t="n">
        <f aca="false">T20/D20*E20</f>
        <v>0.235962966738125</v>
      </c>
      <c r="V20" s="97" t="n">
        <f aca="false">T20/D20*F20</f>
        <v>0.235962966738125</v>
      </c>
      <c r="W20" s="98"/>
    </row>
    <row r="21" customFormat="false" ht="16.5" hidden="false" customHeight="true" outlineLevel="0" collapsed="false">
      <c r="B21" s="83" t="s">
        <v>197</v>
      </c>
      <c r="C21" s="83"/>
      <c r="D21" s="95" t="n">
        <v>1</v>
      </c>
      <c r="E21" s="83" t="n">
        <v>8</v>
      </c>
      <c r="F21" s="83" t="n">
        <v>16</v>
      </c>
      <c r="H21" s="96" t="n">
        <v>1</v>
      </c>
      <c r="I21" s="97" t="n">
        <f aca="false">H21/D21*E21</f>
        <v>8</v>
      </c>
      <c r="J21" s="97" t="n">
        <f aca="false">H21/D21*F21</f>
        <v>16</v>
      </c>
      <c r="K21" s="96" t="n">
        <v>1</v>
      </c>
      <c r="L21" s="97" t="n">
        <f aca="false">K21/D21*E21</f>
        <v>8</v>
      </c>
      <c r="M21" s="97" t="n">
        <f aca="false">K21/D21*F21</f>
        <v>16</v>
      </c>
      <c r="N21" s="96" t="n">
        <v>1</v>
      </c>
      <c r="O21" s="97" t="n">
        <f aca="false">N21/D21*E21</f>
        <v>8</v>
      </c>
      <c r="P21" s="97" t="n">
        <f aca="false">N21/D21*F21</f>
        <v>16</v>
      </c>
      <c r="Q21" s="96" t="n">
        <v>1</v>
      </c>
      <c r="R21" s="97" t="n">
        <f aca="false">Q21/D21*E21</f>
        <v>8</v>
      </c>
      <c r="S21" s="97" t="n">
        <f aca="false">Q21/D21*F21</f>
        <v>16</v>
      </c>
      <c r="T21" s="96" t="n">
        <v>1</v>
      </c>
      <c r="U21" s="97" t="n">
        <f aca="false">T21/D21*E21</f>
        <v>8</v>
      </c>
      <c r="V21" s="97" t="n">
        <f aca="false">T21/D21*F21</f>
        <v>16</v>
      </c>
      <c r="W21" s="99" t="s">
        <v>198</v>
      </c>
    </row>
    <row r="22" customFormat="false" ht="15" hidden="false" customHeight="false" outlineLevel="0" collapsed="false">
      <c r="B22" s="83" t="s">
        <v>199</v>
      </c>
      <c r="C22" s="83"/>
      <c r="D22" s="95" t="n">
        <v>1</v>
      </c>
      <c r="E22" s="83" t="n">
        <v>1</v>
      </c>
      <c r="F22" s="83" t="n">
        <v>2</v>
      </c>
      <c r="H22" s="96" t="n">
        <v>1</v>
      </c>
      <c r="I22" s="97" t="n">
        <f aca="false">H22/D22*E22</f>
        <v>1</v>
      </c>
      <c r="J22" s="97" t="n">
        <f aca="false">H22/D22*F22</f>
        <v>2</v>
      </c>
      <c r="K22" s="96" t="n">
        <v>1</v>
      </c>
      <c r="L22" s="97" t="n">
        <f aca="false">K22/D22*E22</f>
        <v>1</v>
      </c>
      <c r="M22" s="97" t="n">
        <f aca="false">K22/D22*F22</f>
        <v>2</v>
      </c>
      <c r="N22" s="96" t="n">
        <v>1</v>
      </c>
      <c r="O22" s="97" t="n">
        <f aca="false">N22/D22*E22</f>
        <v>1</v>
      </c>
      <c r="P22" s="97" t="n">
        <f aca="false">N22/D22*F22</f>
        <v>2</v>
      </c>
      <c r="Q22" s="96" t="n">
        <v>1</v>
      </c>
      <c r="R22" s="97" t="n">
        <f aca="false">Q22/D22*E22</f>
        <v>1</v>
      </c>
      <c r="S22" s="97" t="n">
        <f aca="false">Q22/D22*F22</f>
        <v>2</v>
      </c>
      <c r="T22" s="96" t="n">
        <v>1</v>
      </c>
      <c r="U22" s="97" t="n">
        <f aca="false">T22/D22*E22</f>
        <v>1</v>
      </c>
      <c r="V22" s="97" t="n">
        <f aca="false">T22/D22*F22</f>
        <v>2</v>
      </c>
      <c r="W22" s="98"/>
    </row>
    <row r="23" customFormat="false" ht="15" hidden="false" customHeight="false" outlineLevel="0" collapsed="false">
      <c r="B23" s="83" t="s">
        <v>200</v>
      </c>
      <c r="C23" s="83"/>
      <c r="D23" s="95" t="n">
        <v>1</v>
      </c>
      <c r="E23" s="83" t="n">
        <v>1</v>
      </c>
      <c r="F23" s="83" t="n">
        <v>2</v>
      </c>
      <c r="H23" s="96" t="n">
        <v>1</v>
      </c>
      <c r="I23" s="97" t="n">
        <f aca="false">H23/D23*E23</f>
        <v>1</v>
      </c>
      <c r="J23" s="97" t="n">
        <f aca="false">H23/D23*F23</f>
        <v>2</v>
      </c>
      <c r="K23" s="96" t="n">
        <v>1</v>
      </c>
      <c r="L23" s="97" t="n">
        <f aca="false">K23/D23*E23</f>
        <v>1</v>
      </c>
      <c r="M23" s="97" t="n">
        <f aca="false">K23/D23*F23</f>
        <v>2</v>
      </c>
      <c r="N23" s="96" t="n">
        <v>1</v>
      </c>
      <c r="O23" s="97" t="n">
        <f aca="false">N23/D23*E23</f>
        <v>1</v>
      </c>
      <c r="P23" s="97" t="n">
        <f aca="false">N23/D23*F23</f>
        <v>2</v>
      </c>
      <c r="Q23" s="96" t="n">
        <v>1</v>
      </c>
      <c r="R23" s="97" t="n">
        <f aca="false">Q23/D23*E23</f>
        <v>1</v>
      </c>
      <c r="S23" s="97" t="n">
        <f aca="false">Q23/D23*F23</f>
        <v>2</v>
      </c>
      <c r="T23" s="96" t="n">
        <v>1</v>
      </c>
      <c r="U23" s="97" t="n">
        <f aca="false">T23/D23*E23</f>
        <v>1</v>
      </c>
      <c r="V23" s="97" t="n">
        <f aca="false">T23/D23*F23</f>
        <v>2</v>
      </c>
      <c r="W23" s="98"/>
    </row>
    <row r="24" customFormat="false" ht="15" hidden="false" customHeight="false" outlineLevel="0" collapsed="false">
      <c r="H24" s="100" t="s">
        <v>201</v>
      </c>
      <c r="I24" s="101" t="n">
        <f aca="false">SUM(I4:I23)</f>
        <v>95.498990575</v>
      </c>
      <c r="J24" s="101" t="n">
        <f aca="false">SUM(J4:J23)</f>
        <v>171.1276541</v>
      </c>
      <c r="K24" s="100"/>
      <c r="L24" s="101" t="n">
        <f aca="false">SUM(L4:L23)</f>
        <v>99.4211083825</v>
      </c>
      <c r="M24" s="101" t="n">
        <f aca="false">SUM(M4:M23)</f>
        <v>178.53731326</v>
      </c>
      <c r="N24" s="100"/>
      <c r="O24" s="101" t="n">
        <f aca="false">SUM(O4:O23)</f>
        <v>103.56404890825</v>
      </c>
      <c r="P24" s="101" t="n">
        <f aca="false">SUM(P4:P23)</f>
        <v>186.3627830235</v>
      </c>
      <c r="Q24" s="100"/>
      <c r="R24" s="101" t="n">
        <f aca="false">SUM(R4:R23)</f>
        <v>107.94132497095</v>
      </c>
      <c r="S24" s="101" t="n">
        <f aca="false">SUM(S4:S23)</f>
        <v>194.629386685225</v>
      </c>
      <c r="T24" s="100"/>
      <c r="U24" s="101" t="n">
        <f aca="false">SUM(U4:U23)</f>
        <v>112.567372198514</v>
      </c>
      <c r="V24" s="101" t="n">
        <f aca="false">SUM(V4:V23)</f>
        <v>203.364166981091</v>
      </c>
      <c r="W24" s="98"/>
    </row>
    <row r="26" customFormat="false" ht="15" hidden="false" customHeight="false" outlineLevel="0" collapsed="false">
      <c r="C26" s="102" t="s">
        <v>202</v>
      </c>
      <c r="D26" s="103"/>
      <c r="E26" s="103"/>
      <c r="F26" s="104"/>
      <c r="G26" s="104"/>
      <c r="H26" s="105"/>
    </row>
    <row r="27" customFormat="false" ht="15" hidden="false" customHeight="false" outlineLevel="0" collapsed="false">
      <c r="C27" s="106" t="s">
        <v>203</v>
      </c>
      <c r="D27" s="107" t="s">
        <v>70</v>
      </c>
      <c r="E27" s="107" t="s">
        <v>71</v>
      </c>
      <c r="F27" s="107" t="s">
        <v>72</v>
      </c>
      <c r="G27" s="107" t="s">
        <v>73</v>
      </c>
      <c r="H27" s="107" t="s">
        <v>74</v>
      </c>
    </row>
    <row r="28" customFormat="false" ht="15" hidden="false" customHeight="false" outlineLevel="0" collapsed="false">
      <c r="C28" s="108" t="s">
        <v>204</v>
      </c>
      <c r="D28" s="109" t="n">
        <f aca="false">ROUNDUP(I24,0)</f>
        <v>96</v>
      </c>
      <c r="E28" s="109" t="n">
        <f aca="false">ROUNDUP(L24,0)</f>
        <v>100</v>
      </c>
      <c r="F28" s="109" t="n">
        <f aca="false">ROUNDUP(O24,0)</f>
        <v>104</v>
      </c>
      <c r="G28" s="109" t="n">
        <f aca="false">ROUNDUP(R24,0)</f>
        <v>108</v>
      </c>
      <c r="H28" s="109" t="n">
        <f aca="false">ROUNDUP(U24,0)</f>
        <v>113</v>
      </c>
    </row>
    <row r="29" customFormat="false" ht="15" hidden="false" customHeight="false" outlineLevel="0" collapsed="false">
      <c r="C29" s="108" t="s">
        <v>205</v>
      </c>
      <c r="D29" s="109" t="n">
        <f aca="false">ROUNDUP(J24,0)</f>
        <v>172</v>
      </c>
      <c r="E29" s="109" t="n">
        <f aca="false">ROUNDUP(M24,0)</f>
        <v>179</v>
      </c>
      <c r="F29" s="109" t="n">
        <f aca="false">ROUNDUP(P24,0)</f>
        <v>187</v>
      </c>
      <c r="G29" s="109" t="n">
        <f aca="false">S24</f>
        <v>194.629386685225</v>
      </c>
      <c r="H29" s="109" t="n">
        <f aca="false">ROUNDUP(V24,0)</f>
        <v>204</v>
      </c>
    </row>
  </sheetData>
  <sheetProtection algorithmName="SHA-512" hashValue="voGOdw6o1g/wvdGPP+5IfQABf4dJPu8anox9pm9VU4RVNbUyoqmeqJisIt/BFnJPdv9EpY6mxh6aDekgIwpxQA==" saltValue="eWozOV49pZRR2N56pNmY7g==" spinCount="100000" sheet="true" objects="true" scenarios="true"/>
  <protectedRanges>
    <protectedRange name="Volumes" sqref="C11 C4"/>
    <protectedRange name="Volumes_1" sqref="C9"/>
    <protectedRange name="Volumes_3" sqref="C13 C15"/>
    <protectedRange name="Volumes_4" sqref="C14"/>
    <protectedRange name="Volumes_5" sqref="C16"/>
    <protectedRange name="Volumes_6" sqref="C7"/>
  </protectedRanges>
  <mergeCells count="1">
    <mergeCell ref="H2:L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T5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4" activeCellId="0" sqref="B4"/>
    </sheetView>
  </sheetViews>
  <sheetFormatPr defaultColWidth="8.6796875" defaultRowHeight="15" zeroHeight="false" outlineLevelRow="0" outlineLevelCol="0"/>
  <cols>
    <col collapsed="false" customWidth="true" hidden="false" outlineLevel="0" max="1" min="1" style="1" width="3.71"/>
    <col collapsed="false" customWidth="true" hidden="false" outlineLevel="0" max="2" min="2" style="1" width="20.85"/>
    <col collapsed="false" customWidth="true" hidden="false" outlineLevel="0" max="3" min="3" style="1" width="20.29"/>
    <col collapsed="false" customWidth="true" hidden="false" outlineLevel="0" max="4" min="4" style="1" width="9.29"/>
    <col collapsed="false" customWidth="true" hidden="false" outlineLevel="0" max="5" min="5" style="1" width="6"/>
    <col collapsed="false" customWidth="true" hidden="false" outlineLevel="0" max="6" min="6" style="1" width="8.86"/>
    <col collapsed="false" customWidth="true" hidden="false" outlineLevel="0" max="7" min="7" style="1" width="2.71"/>
    <col collapsed="false" customWidth="true" hidden="false" outlineLevel="0" max="8" min="8" style="1" width="16.43"/>
    <col collapsed="false" customWidth="true" hidden="false" outlineLevel="0" max="10" min="10" style="1" width="8.86"/>
    <col collapsed="false" customWidth="true" hidden="false" outlineLevel="0" max="11" min="11" style="1" width="2.71"/>
    <col collapsed="false" customWidth="true" hidden="false" outlineLevel="0" max="12" min="12" style="1" width="19.71"/>
    <col collapsed="false" customWidth="true" hidden="false" outlineLevel="0" max="14" min="14" style="1" width="12.71"/>
    <col collapsed="false" customWidth="true" hidden="false" outlineLevel="0" max="15" min="15" style="1" width="2.71"/>
    <col collapsed="false" customWidth="true" hidden="false" outlineLevel="0" max="16" min="16" style="1" width="17"/>
    <col collapsed="false" customWidth="true" hidden="false" outlineLevel="0" max="17" min="17" style="1" width="5.57"/>
    <col collapsed="false" customWidth="true" hidden="false" outlineLevel="0" max="18" min="18" style="1" width="11.85"/>
    <col collapsed="false" customWidth="true" hidden="false" outlineLevel="0" max="19" min="19" style="1" width="5.14"/>
    <col collapsed="false" customWidth="true" hidden="false" outlineLevel="0" max="20" min="20" style="1" width="18.14"/>
    <col collapsed="false" customWidth="true" hidden="false" outlineLevel="0" max="22" min="22" style="1" width="11.85"/>
  </cols>
  <sheetData>
    <row r="1" s="42" customFormat="true" ht="15" hidden="false" customHeight="false" outlineLevel="0" collapsed="false">
      <c r="C1" s="110"/>
      <c r="E1" s="110"/>
      <c r="F1" s="110"/>
      <c r="M1" s="111"/>
    </row>
    <row r="2" s="44" customFormat="true" ht="15" hidden="false" customHeight="false" outlineLevel="0" collapsed="false">
      <c r="A2" s="43"/>
      <c r="B2" s="112" t="s">
        <v>46</v>
      </c>
      <c r="C2" s="112"/>
      <c r="D2" s="112"/>
      <c r="E2" s="112"/>
      <c r="F2" s="112"/>
      <c r="G2" s="113"/>
      <c r="H2" s="114" t="str">
        <f aca="false">"What constitutes a "&amp;C4</f>
        <v>What constitutes a Account</v>
      </c>
      <c r="I2" s="114"/>
      <c r="J2" s="114"/>
      <c r="K2" s="113"/>
      <c r="L2" s="114" t="str">
        <f aca="false">"What constitues a "&amp;C5</f>
        <v>What constitues a Lead</v>
      </c>
      <c r="M2" s="114"/>
      <c r="N2" s="114"/>
      <c r="O2" s="43"/>
      <c r="P2" s="114" t="str">
        <f aca="false">"What constitutes a "&amp;C6</f>
        <v>What constitutes a Service Request (Case)</v>
      </c>
      <c r="Q2" s="114"/>
      <c r="R2" s="114"/>
      <c r="S2" s="43"/>
      <c r="T2" s="114" t="s">
        <v>206</v>
      </c>
      <c r="U2" s="114"/>
      <c r="V2" s="114"/>
      <c r="W2" s="43"/>
      <c r="X2" s="43"/>
    </row>
    <row r="3" s="44" customFormat="true" ht="35.05" hidden="false" customHeight="true" outlineLevel="0" collapsed="false">
      <c r="A3" s="43"/>
      <c r="B3" s="115" t="s">
        <v>207</v>
      </c>
      <c r="C3" s="116" t="s">
        <v>208</v>
      </c>
      <c r="D3" s="116" t="s">
        <v>209</v>
      </c>
      <c r="E3" s="116"/>
      <c r="F3" s="116" t="s">
        <v>210</v>
      </c>
      <c r="G3" s="113"/>
      <c r="H3" s="117"/>
      <c r="I3" s="118" t="s">
        <v>211</v>
      </c>
      <c r="J3" s="119" t="s">
        <v>212</v>
      </c>
      <c r="K3" s="113"/>
      <c r="L3" s="117"/>
      <c r="M3" s="118" t="s">
        <v>211</v>
      </c>
      <c r="N3" s="119" t="s">
        <v>212</v>
      </c>
      <c r="O3" s="43"/>
      <c r="P3" s="117"/>
      <c r="Q3" s="118" t="s">
        <v>211</v>
      </c>
      <c r="R3" s="119" t="s">
        <v>212</v>
      </c>
      <c r="S3" s="43"/>
      <c r="T3" s="120"/>
      <c r="U3" s="121" t="s">
        <v>211</v>
      </c>
      <c r="V3" s="122" t="s">
        <v>213</v>
      </c>
      <c r="W3" s="43"/>
      <c r="X3" s="43"/>
    </row>
    <row r="4" s="44" customFormat="true" ht="15" hidden="false" customHeight="false" outlineLevel="0" collapsed="false">
      <c r="A4" s="43"/>
      <c r="B4" s="123" t="s">
        <v>214</v>
      </c>
      <c r="C4" s="124" t="s">
        <v>214</v>
      </c>
      <c r="D4" s="123" t="n">
        <v>2</v>
      </c>
      <c r="E4" s="125" t="s">
        <v>215</v>
      </c>
      <c r="F4" s="126" t="s">
        <v>152</v>
      </c>
      <c r="G4" s="113"/>
      <c r="H4" s="117" t="s">
        <v>216</v>
      </c>
      <c r="I4" s="127" t="n">
        <v>1</v>
      </c>
      <c r="J4" s="128" t="n">
        <f aca="false">I4*D4</f>
        <v>2</v>
      </c>
      <c r="K4" s="113"/>
      <c r="L4" s="117" t="s">
        <v>216</v>
      </c>
      <c r="M4" s="127" t="n">
        <v>1</v>
      </c>
      <c r="N4" s="128" t="n">
        <f aca="false">D5*M4</f>
        <v>2</v>
      </c>
      <c r="O4" s="43"/>
      <c r="P4" s="117" t="s">
        <v>216</v>
      </c>
      <c r="Q4" s="127" t="n">
        <v>1</v>
      </c>
      <c r="R4" s="128" t="n">
        <f aca="false">Q4*D6</f>
        <v>2</v>
      </c>
      <c r="S4" s="43"/>
      <c r="T4" s="120" t="str">
        <f aca="false">'Datasize-Parameters'!$C$4</f>
        <v>Account</v>
      </c>
      <c r="U4" s="129" t="n">
        <v>2</v>
      </c>
      <c r="V4" s="130" t="n">
        <f aca="false">U4*$D$14</f>
        <v>0.2</v>
      </c>
      <c r="W4" s="43"/>
      <c r="X4" s="43"/>
    </row>
    <row r="5" s="44" customFormat="true" ht="15" hidden="false" customHeight="false" outlineLevel="0" collapsed="false">
      <c r="A5" s="43"/>
      <c r="B5" s="123" t="s">
        <v>217</v>
      </c>
      <c r="C5" s="124" t="s">
        <v>217</v>
      </c>
      <c r="D5" s="123" t="n">
        <v>2</v>
      </c>
      <c r="E5" s="125" t="s">
        <v>215</v>
      </c>
      <c r="F5" s="126" t="s">
        <v>141</v>
      </c>
      <c r="G5" s="113"/>
      <c r="H5" s="117" t="s">
        <v>218</v>
      </c>
      <c r="I5" s="127" t="n">
        <v>3</v>
      </c>
      <c r="J5" s="128" t="n">
        <f aca="false">I5*D4</f>
        <v>6</v>
      </c>
      <c r="K5" s="113"/>
      <c r="L5" s="117" t="s">
        <v>218</v>
      </c>
      <c r="M5" s="127" t="n">
        <v>3</v>
      </c>
      <c r="N5" s="128" t="n">
        <f aca="false">M5*D5</f>
        <v>6</v>
      </c>
      <c r="O5" s="43"/>
      <c r="P5" s="117" t="s">
        <v>218</v>
      </c>
      <c r="Q5" s="127" t="n">
        <v>3</v>
      </c>
      <c r="R5" s="128" t="n">
        <f aca="false">Q5*D6</f>
        <v>6</v>
      </c>
      <c r="S5" s="43"/>
      <c r="T5" s="120" t="str">
        <f aca="false">'Datasize-Parameters'!$C$5</f>
        <v>Lead</v>
      </c>
      <c r="U5" s="129" t="n">
        <v>2</v>
      </c>
      <c r="V5" s="130" t="n">
        <f aca="false">U5*$D$14</f>
        <v>0.2</v>
      </c>
      <c r="W5" s="43"/>
      <c r="X5" s="43"/>
    </row>
    <row r="6" s="44" customFormat="true" ht="15" hidden="false" customHeight="false" outlineLevel="0" collapsed="false">
      <c r="A6" s="43"/>
      <c r="B6" s="123" t="s">
        <v>219</v>
      </c>
      <c r="C6" s="124" t="s">
        <v>220</v>
      </c>
      <c r="D6" s="123" t="n">
        <v>2</v>
      </c>
      <c r="E6" s="125" t="s">
        <v>215</v>
      </c>
      <c r="F6" s="126" t="s">
        <v>141</v>
      </c>
      <c r="G6" s="113"/>
      <c r="H6" s="117" t="str">
        <f aca="false">"Avg "&amp;$C$11</f>
        <v>Avg Activity</v>
      </c>
      <c r="I6" s="127" t="n">
        <v>2</v>
      </c>
      <c r="J6" s="128" t="n">
        <f aca="false">IF($F$11="No",I6*$D$11,I6*$D$11*$D$18)</f>
        <v>4</v>
      </c>
      <c r="K6" s="113"/>
      <c r="L6" s="117" t="str">
        <f aca="false">"Avg "&amp;$C$11</f>
        <v>Avg Activity</v>
      </c>
      <c r="M6" s="127" t="n">
        <v>2</v>
      </c>
      <c r="N6" s="128" t="n">
        <f aca="false">IF($F$11="No",M6*$D$11,M6*$D$11*$D$18)</f>
        <v>4</v>
      </c>
      <c r="O6" s="43"/>
      <c r="P6" s="117" t="str">
        <f aca="false">"Avg "&amp;$C$11</f>
        <v>Avg Activity</v>
      </c>
      <c r="Q6" s="127" t="n">
        <v>2</v>
      </c>
      <c r="R6" s="128" t="n">
        <f aca="false">IF($F$11="No",Q6*$D$11,Q6*$D$11*$D$18)</f>
        <v>4</v>
      </c>
      <c r="S6" s="43"/>
      <c r="T6" s="120" t="str">
        <f aca="false">'Datasize-Parameters'!$C$6</f>
        <v>Service Request (Case)</v>
      </c>
      <c r="U6" s="129" t="n">
        <v>1</v>
      </c>
      <c r="V6" s="130" t="n">
        <f aca="false">U6*$D$14</f>
        <v>0.1</v>
      </c>
      <c r="W6" s="43"/>
      <c r="X6" s="43"/>
    </row>
    <row r="7" s="44" customFormat="true" ht="15" hidden="false" customHeight="false" outlineLevel="0" collapsed="false">
      <c r="A7" s="43"/>
      <c r="B7" s="123" t="s">
        <v>221</v>
      </c>
      <c r="C7" s="124" t="s">
        <v>222</v>
      </c>
      <c r="D7" s="123" t="n">
        <v>2</v>
      </c>
      <c r="E7" s="125" t="s">
        <v>215</v>
      </c>
      <c r="F7" s="126" t="s">
        <v>152</v>
      </c>
      <c r="G7" s="113"/>
      <c r="H7" s="117" t="str">
        <f aca="false">"Avg "&amp;$C$12</f>
        <v>Avg Contact</v>
      </c>
      <c r="I7" s="127" t="n">
        <v>2</v>
      </c>
      <c r="J7" s="128" t="n">
        <f aca="false">IF($F$12="No",I7*D12,I7*D12*$D$18)</f>
        <v>4</v>
      </c>
      <c r="K7" s="113"/>
      <c r="L7" s="117" t="s">
        <v>223</v>
      </c>
      <c r="M7" s="127" t="n">
        <v>15</v>
      </c>
      <c r="N7" s="128" t="n">
        <f aca="false">ROUND(M7*$D$17,0)</f>
        <v>4</v>
      </c>
      <c r="O7" s="43"/>
      <c r="P7" s="117" t="s">
        <v>223</v>
      </c>
      <c r="Q7" s="127" t="n">
        <v>10</v>
      </c>
      <c r="R7" s="128" t="n">
        <f aca="false">ROUND(Q7*$D$17,0)</f>
        <v>3</v>
      </c>
      <c r="S7" s="43"/>
      <c r="T7" s="120" t="str">
        <f aca="false">'Datasize-Parameters'!$C$7</f>
        <v>Campaign</v>
      </c>
      <c r="U7" s="129" t="n">
        <v>0</v>
      </c>
      <c r="V7" s="130" t="n">
        <f aca="false">U7*$D$14</f>
        <v>0</v>
      </c>
      <c r="W7" s="43"/>
      <c r="X7" s="43"/>
    </row>
    <row r="8" s="44" customFormat="true" ht="15" hidden="false" customHeight="false" outlineLevel="0" collapsed="false">
      <c r="A8" s="43"/>
      <c r="B8" s="123" t="s">
        <v>224</v>
      </c>
      <c r="C8" s="124" t="s">
        <v>224</v>
      </c>
      <c r="D8" s="123" t="n">
        <v>2</v>
      </c>
      <c r="E8" s="125" t="s">
        <v>215</v>
      </c>
      <c r="F8" s="126" t="s">
        <v>152</v>
      </c>
      <c r="G8" s="113"/>
      <c r="H8" s="117" t="s">
        <v>223</v>
      </c>
      <c r="I8" s="127" t="n">
        <v>10</v>
      </c>
      <c r="J8" s="128" t="n">
        <f aca="false">ROUND(I8*$D$17,0)</f>
        <v>3</v>
      </c>
      <c r="K8" s="113"/>
      <c r="L8" s="117" t="s">
        <v>225</v>
      </c>
      <c r="M8" s="127" t="n">
        <v>0</v>
      </c>
      <c r="N8" s="131" t="n">
        <f aca="false">ROUND(M8*$D$26,0)</f>
        <v>0</v>
      </c>
      <c r="O8" s="43"/>
      <c r="P8" s="117" t="s">
        <v>225</v>
      </c>
      <c r="Q8" s="127" t="n">
        <v>0</v>
      </c>
      <c r="R8" s="131" t="n">
        <f aca="false">ROUND(Q8*$D$26,0)</f>
        <v>0</v>
      </c>
      <c r="S8" s="43"/>
      <c r="T8" s="120" t="str">
        <f aca="false">'Datasize-Parameters'!$C$8</f>
        <v>Offer</v>
      </c>
      <c r="U8" s="129" t="n">
        <v>0</v>
      </c>
      <c r="V8" s="130" t="n">
        <f aca="false">U8*$D$14</f>
        <v>0</v>
      </c>
      <c r="W8" s="43"/>
      <c r="X8" s="43"/>
    </row>
    <row r="9" s="44" customFormat="true" ht="15" hidden="false" customHeight="false" outlineLevel="0" collapsed="false">
      <c r="A9" s="43"/>
      <c r="B9" s="123" t="s">
        <v>226</v>
      </c>
      <c r="C9" s="124" t="s">
        <v>227</v>
      </c>
      <c r="D9" s="123" t="n">
        <v>2</v>
      </c>
      <c r="E9" s="125" t="s">
        <v>215</v>
      </c>
      <c r="F9" s="126" t="s">
        <v>152</v>
      </c>
      <c r="G9" s="113"/>
      <c r="H9" s="117" t="s">
        <v>225</v>
      </c>
      <c r="I9" s="127" t="n">
        <v>0</v>
      </c>
      <c r="J9" s="131" t="n">
        <f aca="false">ROUND(I9*$D$26,0)</f>
        <v>0</v>
      </c>
      <c r="K9" s="113"/>
      <c r="L9" s="132" t="s">
        <v>228</v>
      </c>
      <c r="M9" s="127" t="n">
        <v>0</v>
      </c>
      <c r="N9" s="131" t="n">
        <f aca="false">ROUND(M9*$D$25,0)</f>
        <v>0</v>
      </c>
      <c r="O9" s="43"/>
      <c r="P9" s="132" t="s">
        <v>228</v>
      </c>
      <c r="Q9" s="127" t="n">
        <v>0</v>
      </c>
      <c r="R9" s="131" t="n">
        <f aca="false">ROUND(Q9*$D$25,0)</f>
        <v>0</v>
      </c>
      <c r="S9" s="43"/>
      <c r="T9" s="120" t="str">
        <f aca="false">'Datasize-Parameters'!$C$9</f>
        <v>Credit</v>
      </c>
      <c r="U9" s="129" t="n">
        <v>0</v>
      </c>
      <c r="V9" s="130" t="n">
        <f aca="false">U9*$D$14</f>
        <v>0</v>
      </c>
      <c r="W9" s="43"/>
      <c r="X9" s="43"/>
    </row>
    <row r="10" s="44" customFormat="true" ht="15" hidden="false" customHeight="false" outlineLevel="0" collapsed="false">
      <c r="A10" s="43"/>
      <c r="B10" s="123" t="s">
        <v>229</v>
      </c>
      <c r="C10" s="124" t="s">
        <v>229</v>
      </c>
      <c r="D10" s="123" t="n">
        <v>2</v>
      </c>
      <c r="E10" s="125" t="s">
        <v>215</v>
      </c>
      <c r="F10" s="126" t="s">
        <v>152</v>
      </c>
      <c r="G10" s="113"/>
      <c r="H10" s="132" t="s">
        <v>228</v>
      </c>
      <c r="I10" s="127" t="n">
        <v>0</v>
      </c>
      <c r="J10" s="131" t="n">
        <f aca="false">ROUND(I10*$D$25,0)</f>
        <v>0</v>
      </c>
      <c r="K10" s="113"/>
      <c r="L10" s="131"/>
      <c r="M10" s="133"/>
      <c r="N10" s="131"/>
      <c r="O10" s="43"/>
      <c r="P10" s="131"/>
      <c r="Q10" s="133"/>
      <c r="R10" s="131"/>
      <c r="S10" s="43"/>
      <c r="T10" s="120" t="str">
        <f aca="false">'Datasize-Parameters'!$C$10</f>
        <v>Holding</v>
      </c>
      <c r="U10" s="129" t="n">
        <v>0</v>
      </c>
      <c r="V10" s="130" t="n">
        <f aca="false">U10*$D$14</f>
        <v>0</v>
      </c>
      <c r="W10" s="43"/>
      <c r="X10" s="43"/>
    </row>
    <row r="11" s="44" customFormat="true" ht="15" hidden="false" customHeight="false" outlineLevel="0" collapsed="false">
      <c r="A11" s="43"/>
      <c r="B11" s="123" t="s">
        <v>230</v>
      </c>
      <c r="C11" s="124" t="s">
        <v>230</v>
      </c>
      <c r="D11" s="123" t="n">
        <v>2</v>
      </c>
      <c r="E11" s="125" t="s">
        <v>215</v>
      </c>
      <c r="F11" s="126" t="s">
        <v>152</v>
      </c>
      <c r="G11" s="113"/>
      <c r="H11" s="131"/>
      <c r="I11" s="133"/>
      <c r="J11" s="131"/>
      <c r="L11" s="131"/>
      <c r="M11" s="133"/>
      <c r="N11" s="131"/>
      <c r="P11" s="131"/>
      <c r="Q11" s="133"/>
      <c r="R11" s="131"/>
      <c r="S11" s="43"/>
      <c r="T11" s="120" t="str">
        <f aca="false">'Datasize-Parameters'!$C$13</f>
        <v>Facility</v>
      </c>
      <c r="U11" s="129" t="n">
        <v>0</v>
      </c>
      <c r="V11" s="130" t="n">
        <f aca="false">U11*$D$14</f>
        <v>0</v>
      </c>
      <c r="W11" s="43"/>
      <c r="X11" s="43"/>
    </row>
    <row r="12" s="44" customFormat="true" ht="15" hidden="false" customHeight="false" outlineLevel="0" collapsed="false">
      <c r="A12" s="43"/>
      <c r="B12" s="123" t="s">
        <v>231</v>
      </c>
      <c r="C12" s="126" t="s">
        <v>231</v>
      </c>
      <c r="D12" s="123" t="n">
        <v>2</v>
      </c>
      <c r="E12" s="125" t="s">
        <v>215</v>
      </c>
      <c r="F12" s="126" t="s">
        <v>152</v>
      </c>
      <c r="G12" s="113"/>
      <c r="H12" s="134" t="str">
        <f aca="false">$C$4 &amp;" Size"</f>
        <v>Account Size</v>
      </c>
      <c r="I12" s="134"/>
      <c r="J12" s="135" t="n">
        <f aca="false">SUM(J4:J10)</f>
        <v>19</v>
      </c>
      <c r="L12" s="134" t="str">
        <f aca="false">$C$5 &amp;" Size"</f>
        <v>Lead Size</v>
      </c>
      <c r="M12" s="134"/>
      <c r="N12" s="135" t="n">
        <f aca="false">SUM(N4:N11)</f>
        <v>16</v>
      </c>
      <c r="P12" s="134" t="str">
        <f aca="false">C6&amp;" Size"</f>
        <v>Service Request (Case) Size</v>
      </c>
      <c r="Q12" s="134"/>
      <c r="R12" s="135" t="n">
        <f aca="false">SUM(R4:R11)</f>
        <v>15</v>
      </c>
      <c r="S12" s="43"/>
      <c r="T12" s="120"/>
      <c r="U12" s="136"/>
      <c r="V12" s="137"/>
      <c r="W12" s="43"/>
      <c r="X12" s="43"/>
    </row>
    <row r="13" s="44" customFormat="true" ht="19.7" hidden="false" customHeight="false" outlineLevel="0" collapsed="false">
      <c r="A13" s="43"/>
      <c r="B13" s="123" t="s">
        <v>232</v>
      </c>
      <c r="C13" s="126" t="s">
        <v>233</v>
      </c>
      <c r="D13" s="123" t="n">
        <v>2</v>
      </c>
      <c r="E13" s="125" t="s">
        <v>215</v>
      </c>
      <c r="F13" s="126" t="s">
        <v>152</v>
      </c>
      <c r="G13" s="113"/>
      <c r="H13" s="138" t="s">
        <v>234</v>
      </c>
      <c r="I13" s="128"/>
      <c r="J13" s="139" t="n">
        <f aca="false">IF($F$4="No", J12, J12*$D$18)</f>
        <v>19</v>
      </c>
      <c r="L13" s="138" t="s">
        <v>234</v>
      </c>
      <c r="M13" s="128"/>
      <c r="N13" s="139" t="n">
        <f aca="false">IF($F$5="No", N12, N12*$D$18)</f>
        <v>40</v>
      </c>
      <c r="P13" s="138" t="s">
        <v>234</v>
      </c>
      <c r="Q13" s="128"/>
      <c r="R13" s="139" t="n">
        <f aca="false">IF($F$6="No", R12, R12*$D$18)</f>
        <v>37.5</v>
      </c>
      <c r="S13" s="43"/>
      <c r="T13" s="137" t="str">
        <f aca="false">G7&amp;" Size"</f>
        <v> Size</v>
      </c>
      <c r="U13" s="137"/>
      <c r="V13" s="140" t="n">
        <f aca="false">SUM(V4:V12)</f>
        <v>0.5</v>
      </c>
      <c r="W13" s="43"/>
      <c r="X13" s="43"/>
    </row>
    <row r="14" s="44" customFormat="true" ht="15" hidden="false" customHeight="false" outlineLevel="0" collapsed="false">
      <c r="A14" s="43"/>
      <c r="B14" s="123" t="s">
        <v>235</v>
      </c>
      <c r="C14" s="123" t="s">
        <v>235</v>
      </c>
      <c r="D14" s="125" t="n">
        <v>0.1</v>
      </c>
      <c r="E14" s="125" t="s">
        <v>215</v>
      </c>
      <c r="F14" s="125" t="s">
        <v>236</v>
      </c>
      <c r="G14" s="113"/>
      <c r="H14" s="117"/>
      <c r="I14" s="117"/>
      <c r="J14" s="134" t="s">
        <v>237</v>
      </c>
      <c r="L14" s="117"/>
      <c r="M14" s="117"/>
      <c r="N14" s="134" t="s">
        <v>237</v>
      </c>
      <c r="P14" s="117"/>
      <c r="Q14" s="117"/>
      <c r="R14" s="134" t="s">
        <v>237</v>
      </c>
      <c r="S14" s="43"/>
      <c r="T14" s="141"/>
      <c r="U14" s="130"/>
      <c r="V14" s="137" t="s">
        <v>237</v>
      </c>
      <c r="W14" s="43"/>
      <c r="X14" s="43"/>
    </row>
    <row r="15" s="44" customFormat="true" ht="15" hidden="false" customHeight="false" outlineLevel="0" collapsed="false">
      <c r="A15" s="43"/>
      <c r="B15" s="123" t="s">
        <v>238</v>
      </c>
      <c r="C15" s="125" t="s">
        <v>238</v>
      </c>
      <c r="D15" s="125" t="s">
        <v>239</v>
      </c>
      <c r="E15" s="125" t="s">
        <v>215</v>
      </c>
      <c r="F15" s="125" t="s">
        <v>236</v>
      </c>
      <c r="G15" s="113"/>
      <c r="S15" s="43"/>
      <c r="T15" s="113"/>
      <c r="U15" s="43"/>
      <c r="V15" s="43"/>
      <c r="W15" s="43"/>
      <c r="X15" s="43"/>
    </row>
    <row r="16" s="44" customFormat="true" ht="15" hidden="false" customHeight="false" outlineLevel="0" collapsed="false">
      <c r="A16" s="43"/>
      <c r="B16" s="123" t="s">
        <v>240</v>
      </c>
      <c r="C16" s="123" t="s">
        <v>240</v>
      </c>
      <c r="D16" s="123" t="n">
        <v>2</v>
      </c>
      <c r="E16" s="125" t="s">
        <v>215</v>
      </c>
      <c r="F16" s="125" t="s">
        <v>236</v>
      </c>
      <c r="G16" s="113"/>
      <c r="H16" s="114" t="str">
        <f aca="false">"What constitutes a "&amp;C7</f>
        <v>What constitutes a Campaign</v>
      </c>
      <c r="I16" s="114"/>
      <c r="J16" s="114"/>
      <c r="K16" s="113"/>
      <c r="L16" s="114" t="str">
        <f aca="false">"What constitutes a "&amp;C8</f>
        <v>What constitutes a Offer</v>
      </c>
      <c r="M16" s="114"/>
      <c r="N16" s="114"/>
      <c r="O16" s="43"/>
      <c r="P16" s="114" t="str">
        <f aca="false">"What constitutes a "&amp;C9</f>
        <v>What constitutes a Credit</v>
      </c>
      <c r="Q16" s="114"/>
      <c r="R16" s="114"/>
      <c r="S16" s="43"/>
      <c r="T16" s="113"/>
      <c r="U16" s="43"/>
      <c r="V16" s="43"/>
      <c r="W16" s="43"/>
      <c r="X16" s="43"/>
    </row>
    <row r="17" s="44" customFormat="true" ht="23.85" hidden="false" customHeight="false" outlineLevel="0" collapsed="false">
      <c r="A17" s="43"/>
      <c r="B17" s="142" t="s">
        <v>241</v>
      </c>
      <c r="C17" s="142" t="s">
        <v>242</v>
      </c>
      <c r="D17" s="143" t="n">
        <v>0.25</v>
      </c>
      <c r="E17" s="125" t="s">
        <v>215</v>
      </c>
      <c r="F17" s="125" t="s">
        <v>236</v>
      </c>
      <c r="G17" s="113"/>
      <c r="H17" s="117"/>
      <c r="I17" s="118" t="s">
        <v>211</v>
      </c>
      <c r="J17" s="119" t="s">
        <v>212</v>
      </c>
      <c r="K17" s="113"/>
      <c r="L17" s="117"/>
      <c r="M17" s="118" t="s">
        <v>211</v>
      </c>
      <c r="N17" s="119" t="s">
        <v>212</v>
      </c>
      <c r="O17" s="43"/>
      <c r="P17" s="117"/>
      <c r="Q17" s="118" t="s">
        <v>211</v>
      </c>
      <c r="R17" s="119" t="s">
        <v>212</v>
      </c>
      <c r="S17" s="43"/>
      <c r="T17" s="43"/>
      <c r="U17" s="43"/>
      <c r="V17" s="43"/>
      <c r="W17" s="43"/>
      <c r="X17" s="43"/>
    </row>
    <row r="18" s="44" customFormat="true" ht="23.85" hidden="false" customHeight="false" outlineLevel="0" collapsed="false">
      <c r="A18" s="43"/>
      <c r="B18" s="142" t="s">
        <v>243</v>
      </c>
      <c r="C18" s="142" t="s">
        <v>244</v>
      </c>
      <c r="D18" s="143" t="n">
        <v>2.5</v>
      </c>
      <c r="E18" s="125" t="s">
        <v>245</v>
      </c>
      <c r="F18" s="125" t="s">
        <v>236</v>
      </c>
      <c r="G18" s="113"/>
      <c r="H18" s="117" t="s">
        <v>216</v>
      </c>
      <c r="I18" s="127" t="n">
        <v>1</v>
      </c>
      <c r="J18" s="128" t="n">
        <f aca="false">I18*D7</f>
        <v>2</v>
      </c>
      <c r="K18" s="113"/>
      <c r="L18" s="117" t="s">
        <v>216</v>
      </c>
      <c r="M18" s="127" t="n">
        <v>0</v>
      </c>
      <c r="N18" s="128" t="n">
        <f aca="false">M18*D8</f>
        <v>0</v>
      </c>
      <c r="O18" s="43"/>
      <c r="P18" s="117" t="s">
        <v>216</v>
      </c>
      <c r="Q18" s="127" t="n">
        <v>0</v>
      </c>
      <c r="R18" s="128" t="n">
        <f aca="false">Q18*D9</f>
        <v>0</v>
      </c>
      <c r="S18" s="43"/>
      <c r="T18" s="43"/>
      <c r="U18" s="43"/>
      <c r="V18" s="43"/>
      <c r="W18" s="43"/>
      <c r="X18" s="43"/>
    </row>
    <row r="19" s="44" customFormat="true" ht="15" hidden="false" customHeight="false" outlineLevel="0" collapsed="false">
      <c r="A19" s="43"/>
      <c r="G19" s="113"/>
      <c r="H19" s="117" t="s">
        <v>218</v>
      </c>
      <c r="I19" s="127" t="n">
        <v>3</v>
      </c>
      <c r="J19" s="128" t="n">
        <f aca="false">I19*D7</f>
        <v>6</v>
      </c>
      <c r="K19" s="113"/>
      <c r="L19" s="117" t="s">
        <v>218</v>
      </c>
      <c r="M19" s="127" t="n">
        <v>0</v>
      </c>
      <c r="N19" s="128" t="n">
        <f aca="false">M19*D8</f>
        <v>0</v>
      </c>
      <c r="O19" s="43"/>
      <c r="P19" s="117" t="s">
        <v>218</v>
      </c>
      <c r="Q19" s="127" t="n">
        <v>0</v>
      </c>
      <c r="R19" s="128" t="n">
        <f aca="false">Q19*D9</f>
        <v>0</v>
      </c>
      <c r="S19" s="43"/>
      <c r="T19" s="43"/>
      <c r="U19" s="43"/>
      <c r="V19" s="43"/>
      <c r="W19" s="43"/>
      <c r="X19" s="43"/>
    </row>
    <row r="20" s="44" customFormat="true" ht="15" hidden="false" customHeight="true" outlineLevel="0" collapsed="false">
      <c r="A20" s="43"/>
      <c r="B20" s="144" t="s">
        <v>246</v>
      </c>
      <c r="C20" s="145"/>
      <c r="D20" s="145"/>
      <c r="E20" s="145"/>
      <c r="F20" s="146"/>
      <c r="G20" s="113"/>
      <c r="H20" s="117" t="str">
        <f aca="false">"Avg "&amp;$C$11</f>
        <v>Avg Activity</v>
      </c>
      <c r="I20" s="127" t="n">
        <v>2</v>
      </c>
      <c r="J20" s="128" t="n">
        <f aca="false">IF($F$11="No",I20*$D$11,I20*$D$11*$D$18)</f>
        <v>4</v>
      </c>
      <c r="K20" s="113"/>
      <c r="L20" s="117" t="str">
        <f aca="false">"Avg "&amp;$C$11</f>
        <v>Avg Activity</v>
      </c>
      <c r="M20" s="127" t="n">
        <v>0</v>
      </c>
      <c r="N20" s="128" t="n">
        <f aca="false">IF($F$11="No",M20*$D$11,M20*$D$11*$D$18)</f>
        <v>0</v>
      </c>
      <c r="O20" s="43"/>
      <c r="P20" s="117" t="str">
        <f aca="false">"Avg "&amp;$C$11</f>
        <v>Avg Activity</v>
      </c>
      <c r="Q20" s="127" t="n">
        <v>0</v>
      </c>
      <c r="R20" s="128" t="n">
        <f aca="false">IF($F$11="No",Q20*$D$11,Q20*$D$11*$D$18)</f>
        <v>0</v>
      </c>
      <c r="S20" s="43"/>
      <c r="T20" s="43"/>
      <c r="U20" s="43"/>
      <c r="V20" s="43"/>
      <c r="W20" s="43"/>
      <c r="X20" s="43"/>
    </row>
    <row r="21" s="44" customFormat="true" ht="25.5" hidden="false" customHeight="true" outlineLevel="0" collapsed="false">
      <c r="A21" s="43"/>
      <c r="B21" s="147" t="s">
        <v>207</v>
      </c>
      <c r="C21" s="148"/>
      <c r="D21" s="149" t="s">
        <v>209</v>
      </c>
      <c r="E21" s="149"/>
      <c r="F21" s="148"/>
      <c r="G21" s="113"/>
      <c r="H21" s="117" t="s">
        <v>223</v>
      </c>
      <c r="I21" s="127" t="n">
        <v>0</v>
      </c>
      <c r="J21" s="128" t="n">
        <f aca="false">ROUND(I21*$D$17,0)</f>
        <v>0</v>
      </c>
      <c r="K21" s="113"/>
      <c r="L21" s="117" t="s">
        <v>223</v>
      </c>
      <c r="M21" s="127" t="n">
        <v>0</v>
      </c>
      <c r="N21" s="128" t="n">
        <f aca="false">ROUND(M21*$D$17,0)</f>
        <v>0</v>
      </c>
      <c r="O21" s="43"/>
      <c r="P21" s="117" t="s">
        <v>223</v>
      </c>
      <c r="Q21" s="127" t="n">
        <v>0</v>
      </c>
      <c r="R21" s="128" t="n">
        <f aca="false">ROUND(Q21*$D$17,0)</f>
        <v>0</v>
      </c>
      <c r="S21" s="43"/>
      <c r="T21" s="43"/>
      <c r="U21" s="43"/>
      <c r="V21" s="43"/>
      <c r="W21" s="43"/>
      <c r="X21" s="43"/>
    </row>
    <row r="22" s="44" customFormat="true" ht="15" hidden="false" customHeight="true" outlineLevel="0" collapsed="false">
      <c r="A22" s="43"/>
      <c r="B22" s="150" t="s">
        <v>247</v>
      </c>
      <c r="C22" s="151"/>
      <c r="D22" s="126" t="n">
        <v>0.1</v>
      </c>
      <c r="E22" s="152" t="s">
        <v>215</v>
      </c>
      <c r="F22" s="153"/>
      <c r="G22" s="113"/>
      <c r="H22" s="117" t="s">
        <v>225</v>
      </c>
      <c r="I22" s="127" t="n">
        <v>0</v>
      </c>
      <c r="J22" s="131" t="n">
        <f aca="false">ROUND(I22*$D$26,0)</f>
        <v>0</v>
      </c>
      <c r="L22" s="117" t="s">
        <v>225</v>
      </c>
      <c r="M22" s="127" t="n">
        <v>0</v>
      </c>
      <c r="N22" s="131" t="n">
        <f aca="false">ROUND(M22*$D$26,0)</f>
        <v>0</v>
      </c>
      <c r="O22" s="43"/>
      <c r="P22" s="117" t="s">
        <v>225</v>
      </c>
      <c r="Q22" s="127" t="n">
        <v>0</v>
      </c>
      <c r="R22" s="131" t="n">
        <f aca="false">ROUND(Q22*$D$26,0)</f>
        <v>0</v>
      </c>
      <c r="S22" s="43"/>
      <c r="T22" s="43"/>
      <c r="U22" s="43"/>
      <c r="V22" s="43"/>
      <c r="W22" s="43"/>
      <c r="X22" s="43"/>
    </row>
    <row r="23" s="44" customFormat="true" ht="15" hidden="false" customHeight="false" outlineLevel="0" collapsed="false">
      <c r="A23" s="43"/>
      <c r="B23" s="150" t="s">
        <v>248</v>
      </c>
      <c r="C23" s="151"/>
      <c r="D23" s="126" t="n">
        <v>40</v>
      </c>
      <c r="E23" s="152" t="s">
        <v>215</v>
      </c>
      <c r="F23" s="153"/>
      <c r="G23" s="113"/>
      <c r="H23" s="132" t="s">
        <v>228</v>
      </c>
      <c r="I23" s="127" t="n">
        <v>0</v>
      </c>
      <c r="J23" s="131" t="n">
        <f aca="false">ROUND(I23*$D$25,0)</f>
        <v>0</v>
      </c>
      <c r="L23" s="132" t="s">
        <v>228</v>
      </c>
      <c r="M23" s="127" t="n">
        <v>0</v>
      </c>
      <c r="N23" s="131" t="n">
        <f aca="false">ROUND(M23*$D$25,0)</f>
        <v>0</v>
      </c>
      <c r="P23" s="132" t="s">
        <v>228</v>
      </c>
      <c r="Q23" s="127" t="n">
        <v>0</v>
      </c>
      <c r="R23" s="131" t="n">
        <f aca="false">ROUND(Q23*$D$25,0)</f>
        <v>0</v>
      </c>
      <c r="S23" s="43"/>
      <c r="T23" s="43"/>
      <c r="U23" s="43"/>
      <c r="V23" s="43"/>
      <c r="W23" s="43"/>
      <c r="X23" s="43"/>
    </row>
    <row r="24" s="44" customFormat="true" ht="15" hidden="false" customHeight="true" outlineLevel="0" collapsed="false">
      <c r="A24" s="43"/>
      <c r="B24" s="150" t="s">
        <v>249</v>
      </c>
      <c r="C24" s="151"/>
      <c r="D24" s="126" t="n">
        <v>256</v>
      </c>
      <c r="E24" s="152" t="s">
        <v>215</v>
      </c>
      <c r="F24" s="153"/>
      <c r="G24" s="113"/>
      <c r="H24" s="117"/>
      <c r="I24" s="118"/>
      <c r="J24" s="119"/>
      <c r="L24" s="117"/>
      <c r="M24" s="118"/>
      <c r="N24" s="119"/>
      <c r="P24" s="117"/>
      <c r="Q24" s="118"/>
      <c r="R24" s="119"/>
      <c r="S24" s="43"/>
      <c r="T24" s="43"/>
      <c r="U24" s="43"/>
      <c r="V24" s="43"/>
      <c r="W24" s="43"/>
      <c r="X24" s="43"/>
    </row>
    <row r="25" s="44" customFormat="true" ht="15" hidden="false" customHeight="false" outlineLevel="0" collapsed="false">
      <c r="A25" s="43"/>
      <c r="B25" s="150" t="s">
        <v>250</v>
      </c>
      <c r="C25" s="151"/>
      <c r="D25" s="126" t="n">
        <v>5</v>
      </c>
      <c r="E25" s="152" t="s">
        <v>215</v>
      </c>
      <c r="F25" s="153"/>
      <c r="G25" s="113"/>
      <c r="H25" s="134" t="str">
        <f aca="false">$C$7&amp;" Size"</f>
        <v>Campaign Size</v>
      </c>
      <c r="I25" s="134"/>
      <c r="J25" s="135" t="n">
        <f aca="false">SUM(J18:J23)</f>
        <v>12</v>
      </c>
      <c r="L25" s="134" t="str">
        <f aca="false">$C$8&amp;" Size"</f>
        <v>Offer Size</v>
      </c>
      <c r="M25" s="134"/>
      <c r="N25" s="135" t="n">
        <f aca="false">SUM(N18:N23)</f>
        <v>0</v>
      </c>
      <c r="P25" s="134" t="str">
        <f aca="false">$C$9&amp;" Size"</f>
        <v>Credit Size</v>
      </c>
      <c r="Q25" s="134"/>
      <c r="R25" s="135" t="n">
        <f aca="false">SUM(R18:R23)</f>
        <v>0</v>
      </c>
      <c r="S25" s="43"/>
      <c r="T25" s="43"/>
      <c r="U25" s="43"/>
      <c r="V25" s="43"/>
      <c r="W25" s="43"/>
      <c r="X25" s="43"/>
    </row>
    <row r="26" s="44" customFormat="true" ht="15" hidden="false" customHeight="true" outlineLevel="0" collapsed="false">
      <c r="A26" s="43"/>
      <c r="B26" s="150" t="s">
        <v>251</v>
      </c>
      <c r="C26" s="151"/>
      <c r="D26" s="126" t="n">
        <v>5</v>
      </c>
      <c r="E26" s="152" t="s">
        <v>215</v>
      </c>
      <c r="F26" s="153"/>
      <c r="G26" s="113"/>
      <c r="H26" s="138" t="s">
        <v>234</v>
      </c>
      <c r="I26" s="128"/>
      <c r="J26" s="139" t="n">
        <f aca="false">IF($F$7="No", J25, J25*$D$18)</f>
        <v>12</v>
      </c>
      <c r="K26" s="113"/>
      <c r="L26" s="138" t="s">
        <v>234</v>
      </c>
      <c r="M26" s="128"/>
      <c r="N26" s="139" t="n">
        <f aca="false">IF($F$8="No", N25, N25*$D$18)</f>
        <v>0</v>
      </c>
      <c r="O26" s="43"/>
      <c r="P26" s="138" t="s">
        <v>234</v>
      </c>
      <c r="Q26" s="128"/>
      <c r="R26" s="139" t="n">
        <f aca="false">IF($F$9="No", R25, R25*$D$18)</f>
        <v>0</v>
      </c>
      <c r="S26" s="43"/>
      <c r="T26" s="43"/>
      <c r="U26" s="43"/>
      <c r="V26" s="43"/>
      <c r="W26" s="43"/>
      <c r="X26" s="43"/>
    </row>
    <row r="27" s="44" customFormat="true" ht="15" hidden="false" customHeight="true" outlineLevel="0" collapsed="false">
      <c r="A27" s="43"/>
      <c r="G27" s="113"/>
      <c r="H27" s="154"/>
      <c r="I27" s="154"/>
      <c r="J27" s="134" t="s">
        <v>252</v>
      </c>
      <c r="K27" s="113"/>
      <c r="L27" s="154"/>
      <c r="M27" s="154"/>
      <c r="N27" s="134" t="s">
        <v>252</v>
      </c>
      <c r="O27" s="43"/>
      <c r="P27" s="154"/>
      <c r="Q27" s="154"/>
      <c r="R27" s="134" t="s">
        <v>252</v>
      </c>
      <c r="S27" s="43"/>
      <c r="T27" s="43"/>
      <c r="U27" s="43"/>
      <c r="V27" s="43"/>
      <c r="W27" s="43"/>
      <c r="X27" s="43"/>
    </row>
    <row r="28" s="44" customFormat="true" ht="15" hidden="false" customHeight="false" outlineLevel="0" collapsed="false">
      <c r="A28" s="43"/>
      <c r="B28" s="155" t="s">
        <v>51</v>
      </c>
      <c r="C28" s="156"/>
      <c r="D28" s="156"/>
      <c r="E28" s="156"/>
      <c r="F28" s="157"/>
      <c r="G28" s="113"/>
      <c r="S28" s="43"/>
      <c r="T28" s="43"/>
      <c r="U28" s="43"/>
      <c r="V28" s="43"/>
      <c r="W28" s="43"/>
      <c r="X28" s="43"/>
    </row>
    <row r="29" s="44" customFormat="true" ht="15" hidden="false" customHeight="true" outlineLevel="0" collapsed="false">
      <c r="A29" s="43"/>
      <c r="B29" s="158" t="s">
        <v>253</v>
      </c>
      <c r="C29" s="159" t="n">
        <v>0.15</v>
      </c>
      <c r="D29" s="150" t="s">
        <v>254</v>
      </c>
      <c r="E29" s="160"/>
      <c r="F29" s="151"/>
      <c r="G29" s="113"/>
      <c r="H29" s="114" t="str">
        <f aca="false">"What constitutes of "&amp;$C$10</f>
        <v>What constitutes of Holding</v>
      </c>
      <c r="I29" s="114"/>
      <c r="J29" s="114"/>
      <c r="K29" s="113"/>
      <c r="L29" s="114" t="str">
        <f aca="false">"What constitutes of "&amp;$C$13</f>
        <v>What constitutes of Facility</v>
      </c>
      <c r="M29" s="114"/>
      <c r="N29" s="114"/>
      <c r="S29" s="43"/>
      <c r="T29" s="43"/>
      <c r="U29" s="43"/>
      <c r="V29" s="43"/>
      <c r="W29" s="43"/>
      <c r="X29" s="43"/>
    </row>
    <row r="30" s="44" customFormat="true" ht="15" hidden="false" customHeight="false" outlineLevel="0" collapsed="false">
      <c r="A30" s="43"/>
      <c r="B30" s="125" t="s">
        <v>255</v>
      </c>
      <c r="C30" s="161" t="n">
        <v>0.2</v>
      </c>
      <c r="D30" s="150" t="s">
        <v>254</v>
      </c>
      <c r="E30" s="160"/>
      <c r="F30" s="151"/>
      <c r="G30" s="113"/>
      <c r="H30" s="117"/>
      <c r="I30" s="118" t="s">
        <v>211</v>
      </c>
      <c r="J30" s="119" t="s">
        <v>212</v>
      </c>
      <c r="K30" s="113"/>
      <c r="L30" s="117"/>
      <c r="M30" s="118" t="s">
        <v>211</v>
      </c>
      <c r="N30" s="119" t="s">
        <v>212</v>
      </c>
      <c r="S30" s="43"/>
      <c r="T30" s="43"/>
      <c r="U30" s="43"/>
      <c r="V30" s="43"/>
      <c r="W30" s="43"/>
      <c r="X30" s="43"/>
    </row>
    <row r="31" s="44" customFormat="true" ht="15" hidden="false" customHeight="false" outlineLevel="0" collapsed="false">
      <c r="A31" s="43"/>
      <c r="B31" s="125" t="s">
        <v>256</v>
      </c>
      <c r="C31" s="161" t="n">
        <v>0.2</v>
      </c>
      <c r="D31" s="150" t="s">
        <v>254</v>
      </c>
      <c r="E31" s="160"/>
      <c r="F31" s="151"/>
      <c r="G31" s="113"/>
      <c r="H31" s="117" t="s">
        <v>216</v>
      </c>
      <c r="I31" s="127" t="n">
        <v>1</v>
      </c>
      <c r="J31" s="128" t="n">
        <f aca="false">I31*D10</f>
        <v>2</v>
      </c>
      <c r="K31" s="113"/>
      <c r="L31" s="117" t="s">
        <v>216</v>
      </c>
      <c r="M31" s="127" t="n">
        <v>0</v>
      </c>
      <c r="N31" s="128" t="n">
        <f aca="false">M31*D13</f>
        <v>0</v>
      </c>
      <c r="S31" s="43"/>
      <c r="T31" s="43"/>
      <c r="U31" s="43"/>
      <c r="V31" s="43"/>
      <c r="W31" s="43"/>
      <c r="X31" s="43"/>
    </row>
    <row r="32" s="44" customFormat="true" ht="15" hidden="false" customHeight="false" outlineLevel="0" collapsed="false">
      <c r="A32" s="43"/>
      <c r="B32" s="125" t="s">
        <v>257</v>
      </c>
      <c r="C32" s="161" t="n">
        <v>0.2</v>
      </c>
      <c r="D32" s="150" t="s">
        <v>254</v>
      </c>
      <c r="E32" s="160"/>
      <c r="F32" s="151"/>
      <c r="G32" s="113"/>
      <c r="H32" s="117" t="s">
        <v>258</v>
      </c>
      <c r="I32" s="127" t="n">
        <v>3</v>
      </c>
      <c r="J32" s="128" t="n">
        <f aca="false">I32*D10</f>
        <v>6</v>
      </c>
      <c r="K32" s="113"/>
      <c r="L32" s="117" t="s">
        <v>258</v>
      </c>
      <c r="M32" s="127" t="n">
        <v>0</v>
      </c>
      <c r="N32" s="128" t="n">
        <f aca="false">M32*D13</f>
        <v>0</v>
      </c>
      <c r="O32" s="43"/>
      <c r="S32" s="43"/>
      <c r="T32" s="43"/>
      <c r="U32" s="43"/>
      <c r="V32" s="43"/>
      <c r="W32" s="43"/>
      <c r="X32" s="43"/>
    </row>
    <row r="33" s="44" customFormat="true" ht="15" hidden="false" customHeight="false" outlineLevel="0" collapsed="false">
      <c r="A33" s="43"/>
      <c r="B33" s="125" t="s">
        <v>259</v>
      </c>
      <c r="C33" s="161" t="n">
        <v>0.25</v>
      </c>
      <c r="D33" s="150" t="s">
        <v>260</v>
      </c>
      <c r="E33" s="160"/>
      <c r="F33" s="151"/>
      <c r="G33" s="113"/>
      <c r="H33" s="117" t="str">
        <f aca="false">"Avg "&amp;$C$11</f>
        <v>Avg Activity</v>
      </c>
      <c r="I33" s="127" t="n">
        <v>0</v>
      </c>
      <c r="J33" s="128" t="n">
        <f aca="false">IF($F$11="No",I33*$D$11,I33*$D$11*$D$18)</f>
        <v>0</v>
      </c>
      <c r="K33" s="113"/>
      <c r="L33" s="117" t="str">
        <f aca="false">"Avg "&amp;$C$11</f>
        <v>Avg Activity</v>
      </c>
      <c r="M33" s="127" t="n">
        <v>0</v>
      </c>
      <c r="N33" s="128" t="n">
        <f aca="false">IF($F$11="No",M33*$D$11,M33*$D$11*$D$18)</f>
        <v>0</v>
      </c>
      <c r="O33" s="43"/>
      <c r="P33" s="162"/>
      <c r="Q33" s="43"/>
      <c r="R33" s="43"/>
      <c r="S33" s="43"/>
      <c r="T33" s="43"/>
      <c r="U33" s="43"/>
      <c r="V33" s="43"/>
      <c r="W33" s="43"/>
      <c r="X33" s="43"/>
    </row>
    <row r="34" s="44" customFormat="true" ht="15" hidden="false" customHeight="false" outlineLevel="0" collapsed="false">
      <c r="A34" s="43"/>
      <c r="B34" s="125" t="s">
        <v>261</v>
      </c>
      <c r="C34" s="161" t="n">
        <v>0.1</v>
      </c>
      <c r="D34" s="150" t="s">
        <v>254</v>
      </c>
      <c r="E34" s="163"/>
      <c r="F34" s="164"/>
      <c r="G34" s="113"/>
      <c r="H34" s="117" t="s">
        <v>223</v>
      </c>
      <c r="I34" s="127" t="n">
        <v>0</v>
      </c>
      <c r="J34" s="128" t="n">
        <f aca="false">ROUND(I34*$D$17,0)</f>
        <v>0</v>
      </c>
      <c r="K34" s="113"/>
      <c r="L34" s="117" t="s">
        <v>223</v>
      </c>
      <c r="M34" s="127" t="n">
        <v>0</v>
      </c>
      <c r="N34" s="128" t="n">
        <f aca="false">ROUND(M34*$D$17,0)</f>
        <v>0</v>
      </c>
      <c r="O34" s="43"/>
      <c r="S34" s="43"/>
      <c r="T34" s="43"/>
      <c r="U34" s="43"/>
      <c r="V34" s="43"/>
      <c r="W34" s="43"/>
      <c r="X34" s="43"/>
    </row>
    <row r="35" s="44" customFormat="true" ht="15" hidden="false" customHeight="false" outlineLevel="0" collapsed="false">
      <c r="A35" s="43"/>
      <c r="G35" s="113"/>
      <c r="H35" s="117" t="s">
        <v>225</v>
      </c>
      <c r="I35" s="127" t="n">
        <v>0</v>
      </c>
      <c r="J35" s="131" t="n">
        <f aca="false">ROUND(I35*$D$26,0)</f>
        <v>0</v>
      </c>
      <c r="K35" s="113"/>
      <c r="L35" s="117" t="s">
        <v>225</v>
      </c>
      <c r="M35" s="127" t="n">
        <v>0</v>
      </c>
      <c r="N35" s="131" t="n">
        <f aca="false">ROUND(M35*$D$26,0)</f>
        <v>0</v>
      </c>
      <c r="O35" s="43"/>
      <c r="S35" s="43"/>
      <c r="T35" s="43"/>
      <c r="U35" s="43"/>
      <c r="V35" s="43"/>
      <c r="W35" s="43"/>
      <c r="X35" s="43"/>
    </row>
    <row r="36" s="44" customFormat="true" ht="15" hidden="false" customHeight="true" outlineLevel="0" collapsed="false">
      <c r="A36" s="43"/>
      <c r="B36" s="165" t="s">
        <v>262</v>
      </c>
      <c r="C36" s="165"/>
      <c r="D36" s="165"/>
      <c r="E36" s="165"/>
      <c r="F36" s="165"/>
      <c r="G36" s="113"/>
      <c r="H36" s="132" t="s">
        <v>228</v>
      </c>
      <c r="I36" s="127" t="n">
        <v>0</v>
      </c>
      <c r="J36" s="131" t="n">
        <f aca="false">ROUND(I36*$D$25,0)</f>
        <v>0</v>
      </c>
      <c r="L36" s="132" t="s">
        <v>228</v>
      </c>
      <c r="M36" s="127" t="n">
        <v>0</v>
      </c>
      <c r="N36" s="131" t="n">
        <f aca="false">ROUND(M36*$D$25,0)</f>
        <v>0</v>
      </c>
      <c r="O36" s="43"/>
      <c r="S36" s="43"/>
      <c r="T36" s="12"/>
      <c r="U36" s="12"/>
      <c r="V36" s="12"/>
      <c r="W36" s="43"/>
      <c r="X36" s="43"/>
      <c r="IQ36" s="166"/>
      <c r="IR36" s="166"/>
      <c r="IS36" s="166"/>
      <c r="IT36" s="166"/>
    </row>
    <row r="37" customFormat="false" ht="15" hidden="false" customHeight="false" outlineLevel="0" collapsed="false">
      <c r="A37" s="12"/>
      <c r="B37" s="165"/>
      <c r="C37" s="165"/>
      <c r="D37" s="165"/>
      <c r="E37" s="165"/>
      <c r="F37" s="165"/>
      <c r="G37" s="12"/>
      <c r="H37" s="117"/>
      <c r="I37" s="118"/>
      <c r="J37" s="119"/>
      <c r="L37" s="117"/>
      <c r="M37" s="118"/>
      <c r="N37" s="119"/>
      <c r="O37" s="43"/>
      <c r="P37" s="44"/>
      <c r="Q37" s="44"/>
      <c r="R37" s="44"/>
      <c r="S37" s="12"/>
      <c r="T37" s="12"/>
      <c r="U37" s="12"/>
      <c r="V37" s="12"/>
      <c r="W37" s="12"/>
      <c r="X37" s="12"/>
    </row>
    <row r="38" customFormat="false" ht="15" hidden="false" customHeight="false" outlineLevel="0" collapsed="false">
      <c r="A38" s="12"/>
      <c r="G38" s="12"/>
      <c r="H38" s="134" t="str">
        <f aca="false">$C$10&amp;" Size"</f>
        <v>Holding Size</v>
      </c>
      <c r="I38" s="134"/>
      <c r="J38" s="135" t="n">
        <f aca="false">SUM(J31:J36)</f>
        <v>8</v>
      </c>
      <c r="K38" s="113"/>
      <c r="L38" s="134" t="str">
        <f aca="false">$C$13&amp;" Size"</f>
        <v>Facility Size</v>
      </c>
      <c r="M38" s="134"/>
      <c r="N38" s="135" t="n">
        <f aca="false">SUM(N31:N36)</f>
        <v>0</v>
      </c>
      <c r="O38" s="43"/>
      <c r="P38" s="44"/>
      <c r="Q38" s="44"/>
      <c r="R38" s="44"/>
      <c r="S38" s="12"/>
      <c r="T38" s="12"/>
      <c r="U38" s="12"/>
      <c r="V38" s="12"/>
      <c r="W38" s="12"/>
      <c r="X38" s="12"/>
    </row>
    <row r="39" customFormat="false" ht="19.7" hidden="false" customHeight="false" outlineLevel="0" collapsed="false">
      <c r="A39" s="12"/>
      <c r="G39" s="12"/>
      <c r="H39" s="138" t="s">
        <v>234</v>
      </c>
      <c r="I39" s="128"/>
      <c r="J39" s="139" t="n">
        <f aca="false">IF($F$10="No", J38, J38*$D$18)</f>
        <v>8</v>
      </c>
      <c r="K39" s="113"/>
      <c r="L39" s="138" t="s">
        <v>234</v>
      </c>
      <c r="M39" s="128"/>
      <c r="N39" s="139" t="n">
        <f aca="false">IF($F$13="No", N38, N38*$D$18)</f>
        <v>0</v>
      </c>
      <c r="O39" s="43"/>
      <c r="P39" s="44"/>
      <c r="Q39" s="44"/>
      <c r="R39" s="44"/>
      <c r="S39" s="12"/>
      <c r="T39" s="12"/>
      <c r="U39" s="12"/>
      <c r="V39" s="12"/>
      <c r="W39" s="12"/>
      <c r="X39" s="12"/>
    </row>
    <row r="40" customFormat="false" ht="15" hidden="false" customHeight="false" outlineLevel="0" collapsed="false">
      <c r="A40" s="12"/>
      <c r="G40" s="12"/>
      <c r="H40" s="154"/>
      <c r="I40" s="154"/>
      <c r="J40" s="134" t="s">
        <v>252</v>
      </c>
      <c r="K40" s="113"/>
      <c r="L40" s="154"/>
      <c r="M40" s="154"/>
      <c r="N40" s="134" t="s">
        <v>252</v>
      </c>
      <c r="O40" s="43"/>
      <c r="P40" s="44"/>
      <c r="Q40" s="44"/>
      <c r="R40" s="44"/>
      <c r="S40" s="12"/>
      <c r="T40" s="12"/>
      <c r="U40" s="12"/>
      <c r="V40" s="12"/>
      <c r="W40" s="12"/>
      <c r="X40" s="12"/>
    </row>
    <row r="41" customFormat="false" ht="15" hidden="false" customHeight="false" outlineLevel="0" collapsed="false">
      <c r="A41" s="12"/>
      <c r="G41" s="12"/>
      <c r="O41" s="43"/>
      <c r="S41" s="12"/>
      <c r="T41" s="12"/>
      <c r="U41" s="12"/>
      <c r="V41" s="12"/>
      <c r="W41" s="12"/>
      <c r="X41" s="12"/>
    </row>
    <row r="42" customFormat="false" ht="15" hidden="false" customHeight="false" outlineLevel="0" collapsed="false">
      <c r="A42" s="12"/>
      <c r="G42" s="12"/>
      <c r="O42" s="43"/>
      <c r="S42" s="12"/>
      <c r="T42" s="12"/>
      <c r="U42" s="12"/>
      <c r="V42" s="12"/>
      <c r="W42" s="12"/>
      <c r="X42" s="12"/>
    </row>
    <row r="43" customFormat="false" ht="15" hidden="false" customHeight="false" outlineLevel="0" collapsed="false">
      <c r="A43" s="12"/>
      <c r="G43" s="12"/>
      <c r="O43" s="43"/>
      <c r="S43" s="12"/>
      <c r="T43" s="12"/>
      <c r="U43" s="12"/>
      <c r="V43" s="12"/>
      <c r="W43" s="12"/>
      <c r="X43" s="12"/>
    </row>
    <row r="44" customFormat="false" ht="15" hidden="false" customHeight="false" outlineLevel="0" collapsed="false">
      <c r="A44" s="12"/>
      <c r="G44" s="12"/>
      <c r="O44" s="12"/>
      <c r="S44" s="12"/>
      <c r="T44" s="12"/>
      <c r="U44" s="12"/>
      <c r="V44" s="12"/>
      <c r="W44" s="12"/>
      <c r="X44" s="12"/>
    </row>
    <row r="45" customFormat="false" ht="15" hidden="false" customHeight="false" outlineLevel="0" collapsed="false">
      <c r="A45" s="12"/>
      <c r="G45" s="12"/>
      <c r="O45" s="12"/>
      <c r="P45" s="12"/>
      <c r="Q45" s="12"/>
      <c r="R45" s="12"/>
      <c r="S45" s="12"/>
      <c r="T45" s="12"/>
      <c r="U45" s="12"/>
      <c r="V45" s="12"/>
      <c r="W45" s="12"/>
      <c r="X45" s="12"/>
    </row>
    <row r="46" customFormat="false" ht="15" hidden="false" customHeight="false" outlineLevel="0" collapsed="false">
      <c r="A46" s="12"/>
      <c r="G46" s="12"/>
      <c r="O46" s="12"/>
      <c r="P46" s="12"/>
      <c r="Q46" s="12"/>
      <c r="R46" s="12"/>
      <c r="S46" s="12"/>
      <c r="T46" s="12"/>
      <c r="U46" s="12"/>
      <c r="V46" s="12"/>
      <c r="W46" s="12"/>
      <c r="X46" s="12"/>
    </row>
    <row r="47" customFormat="false" ht="15" hidden="false" customHeight="false" outlineLevel="0" collapsed="false">
      <c r="A47" s="12"/>
      <c r="G47" s="12"/>
      <c r="O47" s="12"/>
      <c r="P47" s="12"/>
      <c r="Q47" s="12"/>
      <c r="R47" s="12"/>
      <c r="S47" s="12"/>
      <c r="T47" s="12"/>
      <c r="U47" s="12"/>
      <c r="V47" s="12"/>
      <c r="W47" s="12"/>
      <c r="X47" s="12"/>
    </row>
    <row r="48" customFormat="false" ht="15" hidden="false" customHeight="false" outlineLevel="0" collapsed="false">
      <c r="A48" s="12"/>
      <c r="G48" s="12"/>
      <c r="H48" s="12"/>
      <c r="I48" s="12"/>
      <c r="J48" s="12"/>
      <c r="K48" s="12"/>
      <c r="L48" s="12"/>
      <c r="M48" s="12"/>
      <c r="N48" s="12"/>
      <c r="O48" s="12"/>
      <c r="P48" s="12"/>
      <c r="Q48" s="12"/>
      <c r="R48" s="12"/>
      <c r="S48" s="12"/>
      <c r="T48" s="12"/>
      <c r="U48" s="12"/>
      <c r="V48" s="12"/>
      <c r="W48" s="12"/>
      <c r="X48" s="12"/>
    </row>
    <row r="49" customFormat="false" ht="15" hidden="false" customHeight="false" outlineLevel="0" collapsed="false">
      <c r="A49" s="12"/>
      <c r="G49" s="12"/>
      <c r="H49" s="12"/>
      <c r="I49" s="12"/>
      <c r="J49" s="12"/>
      <c r="K49" s="12"/>
      <c r="L49" s="12"/>
      <c r="M49" s="12"/>
      <c r="N49" s="12"/>
      <c r="O49" s="12"/>
      <c r="P49" s="12"/>
      <c r="Q49" s="12"/>
      <c r="R49" s="12"/>
      <c r="S49" s="12"/>
      <c r="W49" s="12"/>
      <c r="X49" s="12"/>
    </row>
    <row r="52" customFormat="false" ht="15" hidden="false" customHeight="false" outlineLevel="0" collapsed="false">
      <c r="B52" s="12"/>
    </row>
  </sheetData>
  <sheetProtection algorithmName="SHA-512" hashValue="DSQSYb5M4fclvU0VdJYy7Ez6PtWN5BpcMHwOGxTDeJYZnYvRgs6VdEqcNqJ302ueRj69lpx1n49FrekVl9jUpw==" saltValue="OtkTnLZk7QDSXYOA73ewKg==" spinCount="100000" sheet="true" objects="true" scenarios="true"/>
  <protectedRanges>
    <protectedRange name="SetParameters" sqref="D22:D26"/>
    <protectedRange name="Has Flow Data" sqref="F4:F13"/>
    <protectedRange name="BusinessObject" sqref="C4:C13"/>
    <protectedRange name="Account" sqref="I4:I10"/>
    <protectedRange name="Lead" sqref="M4:M9"/>
    <protectedRange name="Case" sqref="Q4:Q9"/>
    <protectedRange name="Contract" sqref="I18:I23"/>
    <protectedRange name="Offer" sqref="M18:M23"/>
    <protectedRange name="Opportunity" sqref="Q18:Q23"/>
    <protectedRange name="Holding" sqref="I31:I36"/>
    <protectedRange name="Payment" sqref="M31:M36"/>
    <protectedRange name="Attachment" sqref="U4:U11"/>
  </protectedRanges>
  <mergeCells count="13">
    <mergeCell ref="B2:F2"/>
    <mergeCell ref="H2:J2"/>
    <mergeCell ref="L2:N2"/>
    <mergeCell ref="P2:R2"/>
    <mergeCell ref="T2:V2"/>
    <mergeCell ref="D3:E3"/>
    <mergeCell ref="H16:J16"/>
    <mergeCell ref="L16:N16"/>
    <mergeCell ref="P16:R16"/>
    <mergeCell ref="D21:E21"/>
    <mergeCell ref="H29:J29"/>
    <mergeCell ref="L29:N29"/>
    <mergeCell ref="B36:F37"/>
  </mergeCells>
  <dataValidations count="1">
    <dataValidation allowBlank="true" errorStyle="stop" operator="between" showDropDown="false" showErrorMessage="true" showInputMessage="true" sqref="F4:F13" type="list">
      <formula1>Lookup!$D$4:$D$5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4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B5" activeCellId="0" sqref="B5"/>
    </sheetView>
  </sheetViews>
  <sheetFormatPr defaultColWidth="11.71484375" defaultRowHeight="15" zeroHeight="false" outlineLevelRow="0" outlineLevelCol="0"/>
  <cols>
    <col collapsed="false" customWidth="true" hidden="false" outlineLevel="0" max="1" min="1" style="1" width="2.29"/>
    <col collapsed="false" customWidth="true" hidden="false" outlineLevel="0" max="2" min="2" style="110" width="21"/>
    <col collapsed="false" customWidth="true" hidden="false" outlineLevel="0" max="3" min="3" style="42" width="17.71"/>
    <col collapsed="false" customWidth="true" hidden="false" outlineLevel="0" max="4" min="4" style="110" width="10.71"/>
    <col collapsed="false" customWidth="true" hidden="false" outlineLevel="0" max="5" min="5" style="42" width="3.71"/>
    <col collapsed="false" customWidth="true" hidden="false" outlineLevel="0" max="6" min="6" style="110" width="21"/>
    <col collapsed="false" customWidth="true" hidden="false" outlineLevel="0" max="7" min="7" style="42" width="17.71"/>
    <col collapsed="false" customWidth="true" hidden="false" outlineLevel="0" max="8" min="8" style="110" width="10.71"/>
    <col collapsed="false" customWidth="true" hidden="false" outlineLevel="0" max="9" min="9" style="42" width="3.71"/>
    <col collapsed="false" customWidth="true" hidden="false" outlineLevel="0" max="10" min="10" style="110" width="21"/>
    <col collapsed="false" customWidth="true" hidden="false" outlineLevel="0" max="11" min="11" style="42" width="17.71"/>
    <col collapsed="false" customWidth="true" hidden="false" outlineLevel="0" max="12" min="12" style="110" width="10.71"/>
    <col collapsed="false" customWidth="true" hidden="false" outlineLevel="0" max="13" min="13" style="42" width="3.71"/>
    <col collapsed="false" customWidth="true" hidden="false" outlineLevel="0" max="14" min="14" style="110" width="21"/>
    <col collapsed="false" customWidth="true" hidden="false" outlineLevel="0" max="15" min="15" style="42" width="17.71"/>
    <col collapsed="false" customWidth="true" hidden="false" outlineLevel="0" max="16" min="16" style="110" width="10.71"/>
    <col collapsed="false" customWidth="true" hidden="false" outlineLevel="0" max="17" min="17" style="42" width="3.71"/>
    <col collapsed="false" customWidth="true" hidden="false" outlineLevel="0" max="18" min="18" style="110" width="21"/>
    <col collapsed="false" customWidth="true" hidden="false" outlineLevel="0" max="19" min="19" style="42" width="17.71"/>
    <col collapsed="false" customWidth="true" hidden="false" outlineLevel="0" max="20" min="20" style="110" width="10.71"/>
    <col collapsed="false" customWidth="false" hidden="false" outlineLevel="0" max="255" min="21" style="42" width="11.71"/>
    <col collapsed="false" customWidth="true" hidden="false" outlineLevel="0" max="256" min="256" style="42" width="12.71"/>
    <col collapsed="false" customWidth="true" hidden="false" outlineLevel="0" max="257" min="257" style="42" width="14.14"/>
    <col collapsed="false" customWidth="true" hidden="false" outlineLevel="0" max="258" min="258" style="42" width="22.57"/>
    <col collapsed="false" customWidth="true" hidden="false" outlineLevel="0" max="259" min="259" style="42" width="10"/>
    <col collapsed="false" customWidth="true" hidden="false" outlineLevel="0" max="260" min="260" style="42" width="12.86"/>
    <col collapsed="false" customWidth="true" hidden="false" outlineLevel="0" max="261" min="261" style="42" width="4"/>
    <col collapsed="false" customWidth="true" hidden="false" outlineLevel="0" max="262" min="262" style="42" width="17"/>
    <col collapsed="false" customWidth="true" hidden="false" outlineLevel="0" max="263" min="263" style="42" width="9.42"/>
    <col collapsed="false" customWidth="true" hidden="false" outlineLevel="0" max="264" min="264" style="42" width="11.43"/>
    <col collapsed="false" customWidth="true" hidden="false" outlineLevel="0" max="265" min="265" style="42" width="4.57"/>
    <col collapsed="false" customWidth="true" hidden="false" outlineLevel="0" max="266" min="266" style="42" width="17.15"/>
    <col collapsed="false" customWidth="true" hidden="false" outlineLevel="0" max="267" min="267" style="42" width="10"/>
    <col collapsed="false" customWidth="true" hidden="false" outlineLevel="0" max="268" min="268" style="42" width="11.43"/>
    <col collapsed="false" customWidth="true" hidden="false" outlineLevel="0" max="269" min="269" style="42" width="6.29"/>
    <col collapsed="false" customWidth="true" hidden="false" outlineLevel="0" max="270" min="270" style="42" width="24.29"/>
    <col collapsed="false" customWidth="true" hidden="false" outlineLevel="0" max="271" min="271" style="42" width="10"/>
    <col collapsed="false" customWidth="true" hidden="false" outlineLevel="0" max="272" min="272" style="42" width="11.43"/>
    <col collapsed="false" customWidth="true" hidden="false" outlineLevel="0" max="273" min="273" style="42" width="6.85"/>
    <col collapsed="false" customWidth="true" hidden="false" outlineLevel="0" max="274" min="274" style="42" width="16.29"/>
    <col collapsed="false" customWidth="false" hidden="false" outlineLevel="0" max="511" min="275" style="42" width="11.71"/>
    <col collapsed="false" customWidth="true" hidden="false" outlineLevel="0" max="512" min="512" style="42" width="12.71"/>
    <col collapsed="false" customWidth="true" hidden="false" outlineLevel="0" max="513" min="513" style="42" width="14.14"/>
    <col collapsed="false" customWidth="true" hidden="false" outlineLevel="0" max="514" min="514" style="42" width="22.57"/>
    <col collapsed="false" customWidth="true" hidden="false" outlineLevel="0" max="515" min="515" style="42" width="10"/>
    <col collapsed="false" customWidth="true" hidden="false" outlineLevel="0" max="516" min="516" style="42" width="12.86"/>
    <col collapsed="false" customWidth="true" hidden="false" outlineLevel="0" max="517" min="517" style="42" width="4"/>
    <col collapsed="false" customWidth="true" hidden="false" outlineLevel="0" max="518" min="518" style="42" width="17"/>
    <col collapsed="false" customWidth="true" hidden="false" outlineLevel="0" max="519" min="519" style="42" width="9.42"/>
    <col collapsed="false" customWidth="true" hidden="false" outlineLevel="0" max="520" min="520" style="42" width="11.43"/>
    <col collapsed="false" customWidth="true" hidden="false" outlineLevel="0" max="521" min="521" style="42" width="4.57"/>
    <col collapsed="false" customWidth="true" hidden="false" outlineLevel="0" max="522" min="522" style="42" width="17.15"/>
    <col collapsed="false" customWidth="true" hidden="false" outlineLevel="0" max="523" min="523" style="42" width="10"/>
    <col collapsed="false" customWidth="true" hidden="false" outlineLevel="0" max="524" min="524" style="42" width="11.43"/>
    <col collapsed="false" customWidth="true" hidden="false" outlineLevel="0" max="525" min="525" style="42" width="6.29"/>
    <col collapsed="false" customWidth="true" hidden="false" outlineLevel="0" max="526" min="526" style="42" width="24.29"/>
    <col collapsed="false" customWidth="true" hidden="false" outlineLevel="0" max="527" min="527" style="42" width="10"/>
    <col collapsed="false" customWidth="true" hidden="false" outlineLevel="0" max="528" min="528" style="42" width="11.43"/>
    <col collapsed="false" customWidth="true" hidden="false" outlineLevel="0" max="529" min="529" style="42" width="6.85"/>
    <col collapsed="false" customWidth="true" hidden="false" outlineLevel="0" max="530" min="530" style="42" width="16.29"/>
    <col collapsed="false" customWidth="false" hidden="false" outlineLevel="0" max="767" min="531" style="42" width="11.71"/>
    <col collapsed="false" customWidth="true" hidden="false" outlineLevel="0" max="768" min="768" style="42" width="12.71"/>
    <col collapsed="false" customWidth="true" hidden="false" outlineLevel="0" max="769" min="769" style="42" width="14.14"/>
    <col collapsed="false" customWidth="true" hidden="false" outlineLevel="0" max="770" min="770" style="42" width="22.57"/>
    <col collapsed="false" customWidth="true" hidden="false" outlineLevel="0" max="771" min="771" style="42" width="10"/>
    <col collapsed="false" customWidth="true" hidden="false" outlineLevel="0" max="772" min="772" style="42" width="12.86"/>
    <col collapsed="false" customWidth="true" hidden="false" outlineLevel="0" max="773" min="773" style="42" width="4"/>
    <col collapsed="false" customWidth="true" hidden="false" outlineLevel="0" max="774" min="774" style="42" width="17"/>
    <col collapsed="false" customWidth="true" hidden="false" outlineLevel="0" max="775" min="775" style="42" width="9.42"/>
    <col collapsed="false" customWidth="true" hidden="false" outlineLevel="0" max="776" min="776" style="42" width="11.43"/>
    <col collapsed="false" customWidth="true" hidden="false" outlineLevel="0" max="777" min="777" style="42" width="4.57"/>
    <col collapsed="false" customWidth="true" hidden="false" outlineLevel="0" max="778" min="778" style="42" width="17.15"/>
    <col collapsed="false" customWidth="true" hidden="false" outlineLevel="0" max="779" min="779" style="42" width="10"/>
    <col collapsed="false" customWidth="true" hidden="false" outlineLevel="0" max="780" min="780" style="42" width="11.43"/>
    <col collapsed="false" customWidth="true" hidden="false" outlineLevel="0" max="781" min="781" style="42" width="6.29"/>
    <col collapsed="false" customWidth="true" hidden="false" outlineLevel="0" max="782" min="782" style="42" width="24.29"/>
    <col collapsed="false" customWidth="true" hidden="false" outlineLevel="0" max="783" min="783" style="42" width="10"/>
    <col collapsed="false" customWidth="true" hidden="false" outlineLevel="0" max="784" min="784" style="42" width="11.43"/>
    <col collapsed="false" customWidth="true" hidden="false" outlineLevel="0" max="785" min="785" style="42" width="6.85"/>
    <col collapsed="false" customWidth="true" hidden="false" outlineLevel="0" max="786" min="786" style="42" width="16.29"/>
    <col collapsed="false" customWidth="false" hidden="false" outlineLevel="0" max="1023" min="787" style="42" width="11.71"/>
    <col collapsed="false" customWidth="true" hidden="false" outlineLevel="0" max="1024" min="1024" style="42" width="12.71"/>
    <col collapsed="false" customWidth="true" hidden="false" outlineLevel="0" max="1025" min="1025" style="42" width="14.14"/>
    <col collapsed="false" customWidth="true" hidden="false" outlineLevel="0" max="1026" min="1026" style="42" width="22.57"/>
    <col collapsed="false" customWidth="true" hidden="false" outlineLevel="0" max="1027" min="1027" style="42" width="10"/>
    <col collapsed="false" customWidth="true" hidden="false" outlineLevel="0" max="1028" min="1028" style="42" width="12.86"/>
    <col collapsed="false" customWidth="true" hidden="false" outlineLevel="0" max="1029" min="1029" style="42" width="4"/>
    <col collapsed="false" customWidth="true" hidden="false" outlineLevel="0" max="1030" min="1030" style="42" width="17"/>
    <col collapsed="false" customWidth="true" hidden="false" outlineLevel="0" max="1031" min="1031" style="42" width="9.42"/>
    <col collapsed="false" customWidth="true" hidden="false" outlineLevel="0" max="1032" min="1032" style="42" width="11.43"/>
    <col collapsed="false" customWidth="true" hidden="false" outlineLevel="0" max="1033" min="1033" style="42" width="4.57"/>
    <col collapsed="false" customWidth="true" hidden="false" outlineLevel="0" max="1034" min="1034" style="42" width="17.15"/>
    <col collapsed="false" customWidth="true" hidden="false" outlineLevel="0" max="1035" min="1035" style="42" width="10"/>
    <col collapsed="false" customWidth="true" hidden="false" outlineLevel="0" max="1036" min="1036" style="42" width="11.43"/>
    <col collapsed="false" customWidth="true" hidden="false" outlineLevel="0" max="1037" min="1037" style="42" width="6.29"/>
    <col collapsed="false" customWidth="true" hidden="false" outlineLevel="0" max="1038" min="1038" style="42" width="24.29"/>
    <col collapsed="false" customWidth="true" hidden="false" outlineLevel="0" max="1039" min="1039" style="42" width="10"/>
    <col collapsed="false" customWidth="true" hidden="false" outlineLevel="0" max="1040" min="1040" style="42" width="11.43"/>
    <col collapsed="false" customWidth="true" hidden="false" outlineLevel="0" max="1041" min="1041" style="42" width="6.85"/>
    <col collapsed="false" customWidth="true" hidden="false" outlineLevel="0" max="1042" min="1042" style="42" width="16.29"/>
    <col collapsed="false" customWidth="false" hidden="false" outlineLevel="0" max="1279" min="1043" style="42" width="11.71"/>
    <col collapsed="false" customWidth="true" hidden="false" outlineLevel="0" max="1280" min="1280" style="42" width="12.71"/>
    <col collapsed="false" customWidth="true" hidden="false" outlineLevel="0" max="1281" min="1281" style="42" width="14.14"/>
    <col collapsed="false" customWidth="true" hidden="false" outlineLevel="0" max="1282" min="1282" style="42" width="22.57"/>
    <col collapsed="false" customWidth="true" hidden="false" outlineLevel="0" max="1283" min="1283" style="42" width="10"/>
    <col collapsed="false" customWidth="true" hidden="false" outlineLevel="0" max="1284" min="1284" style="42" width="12.86"/>
    <col collapsed="false" customWidth="true" hidden="false" outlineLevel="0" max="1285" min="1285" style="42" width="4"/>
    <col collapsed="false" customWidth="true" hidden="false" outlineLevel="0" max="1286" min="1286" style="42" width="17"/>
    <col collapsed="false" customWidth="true" hidden="false" outlineLevel="0" max="1287" min="1287" style="42" width="9.42"/>
    <col collapsed="false" customWidth="true" hidden="false" outlineLevel="0" max="1288" min="1288" style="42" width="11.43"/>
    <col collapsed="false" customWidth="true" hidden="false" outlineLevel="0" max="1289" min="1289" style="42" width="4.57"/>
    <col collapsed="false" customWidth="true" hidden="false" outlineLevel="0" max="1290" min="1290" style="42" width="17.15"/>
    <col collapsed="false" customWidth="true" hidden="false" outlineLevel="0" max="1291" min="1291" style="42" width="10"/>
    <col collapsed="false" customWidth="true" hidden="false" outlineLevel="0" max="1292" min="1292" style="42" width="11.43"/>
    <col collapsed="false" customWidth="true" hidden="false" outlineLevel="0" max="1293" min="1293" style="42" width="6.29"/>
    <col collapsed="false" customWidth="true" hidden="false" outlineLevel="0" max="1294" min="1294" style="42" width="24.29"/>
    <col collapsed="false" customWidth="true" hidden="false" outlineLevel="0" max="1295" min="1295" style="42" width="10"/>
    <col collapsed="false" customWidth="true" hidden="false" outlineLevel="0" max="1296" min="1296" style="42" width="11.43"/>
    <col collapsed="false" customWidth="true" hidden="false" outlineLevel="0" max="1297" min="1297" style="42" width="6.85"/>
    <col collapsed="false" customWidth="true" hidden="false" outlineLevel="0" max="1298" min="1298" style="42" width="16.29"/>
    <col collapsed="false" customWidth="false" hidden="false" outlineLevel="0" max="1535" min="1299" style="42" width="11.71"/>
    <col collapsed="false" customWidth="true" hidden="false" outlineLevel="0" max="1536" min="1536" style="42" width="12.71"/>
    <col collapsed="false" customWidth="true" hidden="false" outlineLevel="0" max="1537" min="1537" style="42" width="14.14"/>
    <col collapsed="false" customWidth="true" hidden="false" outlineLevel="0" max="1538" min="1538" style="42" width="22.57"/>
    <col collapsed="false" customWidth="true" hidden="false" outlineLevel="0" max="1539" min="1539" style="42" width="10"/>
    <col collapsed="false" customWidth="true" hidden="false" outlineLevel="0" max="1540" min="1540" style="42" width="12.86"/>
    <col collapsed="false" customWidth="true" hidden="false" outlineLevel="0" max="1541" min="1541" style="42" width="4"/>
    <col collapsed="false" customWidth="true" hidden="false" outlineLevel="0" max="1542" min="1542" style="42" width="17"/>
    <col collapsed="false" customWidth="true" hidden="false" outlineLevel="0" max="1543" min="1543" style="42" width="9.42"/>
    <col collapsed="false" customWidth="true" hidden="false" outlineLevel="0" max="1544" min="1544" style="42" width="11.43"/>
    <col collapsed="false" customWidth="true" hidden="false" outlineLevel="0" max="1545" min="1545" style="42" width="4.57"/>
    <col collapsed="false" customWidth="true" hidden="false" outlineLevel="0" max="1546" min="1546" style="42" width="17.15"/>
    <col collapsed="false" customWidth="true" hidden="false" outlineLevel="0" max="1547" min="1547" style="42" width="10"/>
    <col collapsed="false" customWidth="true" hidden="false" outlineLevel="0" max="1548" min="1548" style="42" width="11.43"/>
    <col collapsed="false" customWidth="true" hidden="false" outlineLevel="0" max="1549" min="1549" style="42" width="6.29"/>
    <col collapsed="false" customWidth="true" hidden="false" outlineLevel="0" max="1550" min="1550" style="42" width="24.29"/>
    <col collapsed="false" customWidth="true" hidden="false" outlineLevel="0" max="1551" min="1551" style="42" width="10"/>
    <col collapsed="false" customWidth="true" hidden="false" outlineLevel="0" max="1552" min="1552" style="42" width="11.43"/>
    <col collapsed="false" customWidth="true" hidden="false" outlineLevel="0" max="1553" min="1553" style="42" width="6.85"/>
    <col collapsed="false" customWidth="true" hidden="false" outlineLevel="0" max="1554" min="1554" style="42" width="16.29"/>
    <col collapsed="false" customWidth="false" hidden="false" outlineLevel="0" max="1791" min="1555" style="42" width="11.71"/>
    <col collapsed="false" customWidth="true" hidden="false" outlineLevel="0" max="1792" min="1792" style="42" width="12.71"/>
    <col collapsed="false" customWidth="true" hidden="false" outlineLevel="0" max="1793" min="1793" style="42" width="14.14"/>
    <col collapsed="false" customWidth="true" hidden="false" outlineLevel="0" max="1794" min="1794" style="42" width="22.57"/>
    <col collapsed="false" customWidth="true" hidden="false" outlineLevel="0" max="1795" min="1795" style="42" width="10"/>
    <col collapsed="false" customWidth="true" hidden="false" outlineLevel="0" max="1796" min="1796" style="42" width="12.86"/>
    <col collapsed="false" customWidth="true" hidden="false" outlineLevel="0" max="1797" min="1797" style="42" width="4"/>
    <col collapsed="false" customWidth="true" hidden="false" outlineLevel="0" max="1798" min="1798" style="42" width="17"/>
    <col collapsed="false" customWidth="true" hidden="false" outlineLevel="0" max="1799" min="1799" style="42" width="9.42"/>
    <col collapsed="false" customWidth="true" hidden="false" outlineLevel="0" max="1800" min="1800" style="42" width="11.43"/>
    <col collapsed="false" customWidth="true" hidden="false" outlineLevel="0" max="1801" min="1801" style="42" width="4.57"/>
    <col collapsed="false" customWidth="true" hidden="false" outlineLevel="0" max="1802" min="1802" style="42" width="17.15"/>
    <col collapsed="false" customWidth="true" hidden="false" outlineLevel="0" max="1803" min="1803" style="42" width="10"/>
    <col collapsed="false" customWidth="true" hidden="false" outlineLevel="0" max="1804" min="1804" style="42" width="11.43"/>
    <col collapsed="false" customWidth="true" hidden="false" outlineLevel="0" max="1805" min="1805" style="42" width="6.29"/>
    <col collapsed="false" customWidth="true" hidden="false" outlineLevel="0" max="1806" min="1806" style="42" width="24.29"/>
    <col collapsed="false" customWidth="true" hidden="false" outlineLevel="0" max="1807" min="1807" style="42" width="10"/>
    <col collapsed="false" customWidth="true" hidden="false" outlineLevel="0" max="1808" min="1808" style="42" width="11.43"/>
    <col collapsed="false" customWidth="true" hidden="false" outlineLevel="0" max="1809" min="1809" style="42" width="6.85"/>
    <col collapsed="false" customWidth="true" hidden="false" outlineLevel="0" max="1810" min="1810" style="42" width="16.29"/>
    <col collapsed="false" customWidth="false" hidden="false" outlineLevel="0" max="2047" min="1811" style="42" width="11.71"/>
    <col collapsed="false" customWidth="true" hidden="false" outlineLevel="0" max="2048" min="2048" style="42" width="12.71"/>
    <col collapsed="false" customWidth="true" hidden="false" outlineLevel="0" max="2049" min="2049" style="42" width="14.14"/>
    <col collapsed="false" customWidth="true" hidden="false" outlineLevel="0" max="2050" min="2050" style="42" width="22.57"/>
    <col collapsed="false" customWidth="true" hidden="false" outlineLevel="0" max="2051" min="2051" style="42" width="10"/>
    <col collapsed="false" customWidth="true" hidden="false" outlineLevel="0" max="2052" min="2052" style="42" width="12.86"/>
    <col collapsed="false" customWidth="true" hidden="false" outlineLevel="0" max="2053" min="2053" style="42" width="4"/>
    <col collapsed="false" customWidth="true" hidden="false" outlineLevel="0" max="2054" min="2054" style="42" width="17"/>
    <col collapsed="false" customWidth="true" hidden="false" outlineLevel="0" max="2055" min="2055" style="42" width="9.42"/>
    <col collapsed="false" customWidth="true" hidden="false" outlineLevel="0" max="2056" min="2056" style="42" width="11.43"/>
    <col collapsed="false" customWidth="true" hidden="false" outlineLevel="0" max="2057" min="2057" style="42" width="4.57"/>
    <col collapsed="false" customWidth="true" hidden="false" outlineLevel="0" max="2058" min="2058" style="42" width="17.15"/>
    <col collapsed="false" customWidth="true" hidden="false" outlineLevel="0" max="2059" min="2059" style="42" width="10"/>
    <col collapsed="false" customWidth="true" hidden="false" outlineLevel="0" max="2060" min="2060" style="42" width="11.43"/>
    <col collapsed="false" customWidth="true" hidden="false" outlineLevel="0" max="2061" min="2061" style="42" width="6.29"/>
    <col collapsed="false" customWidth="true" hidden="false" outlineLevel="0" max="2062" min="2062" style="42" width="24.29"/>
    <col collapsed="false" customWidth="true" hidden="false" outlineLevel="0" max="2063" min="2063" style="42" width="10"/>
    <col collapsed="false" customWidth="true" hidden="false" outlineLevel="0" max="2064" min="2064" style="42" width="11.43"/>
    <col collapsed="false" customWidth="true" hidden="false" outlineLevel="0" max="2065" min="2065" style="42" width="6.85"/>
    <col collapsed="false" customWidth="true" hidden="false" outlineLevel="0" max="2066" min="2066" style="42" width="16.29"/>
    <col collapsed="false" customWidth="false" hidden="false" outlineLevel="0" max="2303" min="2067" style="42" width="11.71"/>
    <col collapsed="false" customWidth="true" hidden="false" outlineLevel="0" max="2304" min="2304" style="42" width="12.71"/>
    <col collapsed="false" customWidth="true" hidden="false" outlineLevel="0" max="2305" min="2305" style="42" width="14.14"/>
    <col collapsed="false" customWidth="true" hidden="false" outlineLevel="0" max="2306" min="2306" style="42" width="22.57"/>
    <col collapsed="false" customWidth="true" hidden="false" outlineLevel="0" max="2307" min="2307" style="42" width="10"/>
    <col collapsed="false" customWidth="true" hidden="false" outlineLevel="0" max="2308" min="2308" style="42" width="12.86"/>
    <col collapsed="false" customWidth="true" hidden="false" outlineLevel="0" max="2309" min="2309" style="42" width="4"/>
    <col collapsed="false" customWidth="true" hidden="false" outlineLevel="0" max="2310" min="2310" style="42" width="17"/>
    <col collapsed="false" customWidth="true" hidden="false" outlineLevel="0" max="2311" min="2311" style="42" width="9.42"/>
    <col collapsed="false" customWidth="true" hidden="false" outlineLevel="0" max="2312" min="2312" style="42" width="11.43"/>
    <col collapsed="false" customWidth="true" hidden="false" outlineLevel="0" max="2313" min="2313" style="42" width="4.57"/>
    <col collapsed="false" customWidth="true" hidden="false" outlineLevel="0" max="2314" min="2314" style="42" width="17.15"/>
    <col collapsed="false" customWidth="true" hidden="false" outlineLevel="0" max="2315" min="2315" style="42" width="10"/>
    <col collapsed="false" customWidth="true" hidden="false" outlineLevel="0" max="2316" min="2316" style="42" width="11.43"/>
    <col collapsed="false" customWidth="true" hidden="false" outlineLevel="0" max="2317" min="2317" style="42" width="6.29"/>
    <col collapsed="false" customWidth="true" hidden="false" outlineLevel="0" max="2318" min="2318" style="42" width="24.29"/>
    <col collapsed="false" customWidth="true" hidden="false" outlineLevel="0" max="2319" min="2319" style="42" width="10"/>
    <col collapsed="false" customWidth="true" hidden="false" outlineLevel="0" max="2320" min="2320" style="42" width="11.43"/>
    <col collapsed="false" customWidth="true" hidden="false" outlineLevel="0" max="2321" min="2321" style="42" width="6.85"/>
    <col collapsed="false" customWidth="true" hidden="false" outlineLevel="0" max="2322" min="2322" style="42" width="16.29"/>
    <col collapsed="false" customWidth="false" hidden="false" outlineLevel="0" max="2559" min="2323" style="42" width="11.71"/>
    <col collapsed="false" customWidth="true" hidden="false" outlineLevel="0" max="2560" min="2560" style="42" width="12.71"/>
    <col collapsed="false" customWidth="true" hidden="false" outlineLevel="0" max="2561" min="2561" style="42" width="14.14"/>
    <col collapsed="false" customWidth="true" hidden="false" outlineLevel="0" max="2562" min="2562" style="42" width="22.57"/>
    <col collapsed="false" customWidth="true" hidden="false" outlineLevel="0" max="2563" min="2563" style="42" width="10"/>
    <col collapsed="false" customWidth="true" hidden="false" outlineLevel="0" max="2564" min="2564" style="42" width="12.86"/>
    <col collapsed="false" customWidth="true" hidden="false" outlineLevel="0" max="2565" min="2565" style="42" width="4"/>
    <col collapsed="false" customWidth="true" hidden="false" outlineLevel="0" max="2566" min="2566" style="42" width="17"/>
    <col collapsed="false" customWidth="true" hidden="false" outlineLevel="0" max="2567" min="2567" style="42" width="9.42"/>
    <col collapsed="false" customWidth="true" hidden="false" outlineLevel="0" max="2568" min="2568" style="42" width="11.43"/>
    <col collapsed="false" customWidth="true" hidden="false" outlineLevel="0" max="2569" min="2569" style="42" width="4.57"/>
    <col collapsed="false" customWidth="true" hidden="false" outlineLevel="0" max="2570" min="2570" style="42" width="17.15"/>
    <col collapsed="false" customWidth="true" hidden="false" outlineLevel="0" max="2571" min="2571" style="42" width="10"/>
    <col collapsed="false" customWidth="true" hidden="false" outlineLevel="0" max="2572" min="2572" style="42" width="11.43"/>
    <col collapsed="false" customWidth="true" hidden="false" outlineLevel="0" max="2573" min="2573" style="42" width="6.29"/>
    <col collapsed="false" customWidth="true" hidden="false" outlineLevel="0" max="2574" min="2574" style="42" width="24.29"/>
    <col collapsed="false" customWidth="true" hidden="false" outlineLevel="0" max="2575" min="2575" style="42" width="10"/>
    <col collapsed="false" customWidth="true" hidden="false" outlineLevel="0" max="2576" min="2576" style="42" width="11.43"/>
    <col collapsed="false" customWidth="true" hidden="false" outlineLevel="0" max="2577" min="2577" style="42" width="6.85"/>
    <col collapsed="false" customWidth="true" hidden="false" outlineLevel="0" max="2578" min="2578" style="42" width="16.29"/>
    <col collapsed="false" customWidth="false" hidden="false" outlineLevel="0" max="2815" min="2579" style="42" width="11.71"/>
    <col collapsed="false" customWidth="true" hidden="false" outlineLevel="0" max="2816" min="2816" style="42" width="12.71"/>
    <col collapsed="false" customWidth="true" hidden="false" outlineLevel="0" max="2817" min="2817" style="42" width="14.14"/>
    <col collapsed="false" customWidth="true" hidden="false" outlineLevel="0" max="2818" min="2818" style="42" width="22.57"/>
    <col collapsed="false" customWidth="true" hidden="false" outlineLevel="0" max="2819" min="2819" style="42" width="10"/>
    <col collapsed="false" customWidth="true" hidden="false" outlineLevel="0" max="2820" min="2820" style="42" width="12.86"/>
    <col collapsed="false" customWidth="true" hidden="false" outlineLevel="0" max="2821" min="2821" style="42" width="4"/>
    <col collapsed="false" customWidth="true" hidden="false" outlineLevel="0" max="2822" min="2822" style="42" width="17"/>
    <col collapsed="false" customWidth="true" hidden="false" outlineLevel="0" max="2823" min="2823" style="42" width="9.42"/>
    <col collapsed="false" customWidth="true" hidden="false" outlineLevel="0" max="2824" min="2824" style="42" width="11.43"/>
    <col collapsed="false" customWidth="true" hidden="false" outlineLevel="0" max="2825" min="2825" style="42" width="4.57"/>
    <col collapsed="false" customWidth="true" hidden="false" outlineLevel="0" max="2826" min="2826" style="42" width="17.15"/>
    <col collapsed="false" customWidth="true" hidden="false" outlineLevel="0" max="2827" min="2827" style="42" width="10"/>
    <col collapsed="false" customWidth="true" hidden="false" outlineLevel="0" max="2828" min="2828" style="42" width="11.43"/>
    <col collapsed="false" customWidth="true" hidden="false" outlineLevel="0" max="2829" min="2829" style="42" width="6.29"/>
    <col collapsed="false" customWidth="true" hidden="false" outlineLevel="0" max="2830" min="2830" style="42" width="24.29"/>
    <col collapsed="false" customWidth="true" hidden="false" outlineLevel="0" max="2831" min="2831" style="42" width="10"/>
    <col collapsed="false" customWidth="true" hidden="false" outlineLevel="0" max="2832" min="2832" style="42" width="11.43"/>
    <col collapsed="false" customWidth="true" hidden="false" outlineLevel="0" max="2833" min="2833" style="42" width="6.85"/>
    <col collapsed="false" customWidth="true" hidden="false" outlineLevel="0" max="2834" min="2834" style="42" width="16.29"/>
    <col collapsed="false" customWidth="false" hidden="false" outlineLevel="0" max="3071" min="2835" style="42" width="11.71"/>
    <col collapsed="false" customWidth="true" hidden="false" outlineLevel="0" max="3072" min="3072" style="42" width="12.71"/>
    <col collapsed="false" customWidth="true" hidden="false" outlineLevel="0" max="3073" min="3073" style="42" width="14.14"/>
    <col collapsed="false" customWidth="true" hidden="false" outlineLevel="0" max="3074" min="3074" style="42" width="22.57"/>
    <col collapsed="false" customWidth="true" hidden="false" outlineLevel="0" max="3075" min="3075" style="42" width="10"/>
    <col collapsed="false" customWidth="true" hidden="false" outlineLevel="0" max="3076" min="3076" style="42" width="12.86"/>
    <col collapsed="false" customWidth="true" hidden="false" outlineLevel="0" max="3077" min="3077" style="42" width="4"/>
    <col collapsed="false" customWidth="true" hidden="false" outlineLevel="0" max="3078" min="3078" style="42" width="17"/>
    <col collapsed="false" customWidth="true" hidden="false" outlineLevel="0" max="3079" min="3079" style="42" width="9.42"/>
    <col collapsed="false" customWidth="true" hidden="false" outlineLevel="0" max="3080" min="3080" style="42" width="11.43"/>
    <col collapsed="false" customWidth="true" hidden="false" outlineLevel="0" max="3081" min="3081" style="42" width="4.57"/>
    <col collapsed="false" customWidth="true" hidden="false" outlineLevel="0" max="3082" min="3082" style="42" width="17.15"/>
    <col collapsed="false" customWidth="true" hidden="false" outlineLevel="0" max="3083" min="3083" style="42" width="10"/>
    <col collapsed="false" customWidth="true" hidden="false" outlineLevel="0" max="3084" min="3084" style="42" width="11.43"/>
    <col collapsed="false" customWidth="true" hidden="false" outlineLevel="0" max="3085" min="3085" style="42" width="6.29"/>
    <col collapsed="false" customWidth="true" hidden="false" outlineLevel="0" max="3086" min="3086" style="42" width="24.29"/>
    <col collapsed="false" customWidth="true" hidden="false" outlineLevel="0" max="3087" min="3087" style="42" width="10"/>
    <col collapsed="false" customWidth="true" hidden="false" outlineLevel="0" max="3088" min="3088" style="42" width="11.43"/>
    <col collapsed="false" customWidth="true" hidden="false" outlineLevel="0" max="3089" min="3089" style="42" width="6.85"/>
    <col collapsed="false" customWidth="true" hidden="false" outlineLevel="0" max="3090" min="3090" style="42" width="16.29"/>
    <col collapsed="false" customWidth="false" hidden="false" outlineLevel="0" max="3327" min="3091" style="42" width="11.71"/>
    <col collapsed="false" customWidth="true" hidden="false" outlineLevel="0" max="3328" min="3328" style="42" width="12.71"/>
    <col collapsed="false" customWidth="true" hidden="false" outlineLevel="0" max="3329" min="3329" style="42" width="14.14"/>
    <col collapsed="false" customWidth="true" hidden="false" outlineLevel="0" max="3330" min="3330" style="42" width="22.57"/>
    <col collapsed="false" customWidth="true" hidden="false" outlineLevel="0" max="3331" min="3331" style="42" width="10"/>
    <col collapsed="false" customWidth="true" hidden="false" outlineLevel="0" max="3332" min="3332" style="42" width="12.86"/>
    <col collapsed="false" customWidth="true" hidden="false" outlineLevel="0" max="3333" min="3333" style="42" width="4"/>
    <col collapsed="false" customWidth="true" hidden="false" outlineLevel="0" max="3334" min="3334" style="42" width="17"/>
    <col collapsed="false" customWidth="true" hidden="false" outlineLevel="0" max="3335" min="3335" style="42" width="9.42"/>
    <col collapsed="false" customWidth="true" hidden="false" outlineLevel="0" max="3336" min="3336" style="42" width="11.43"/>
    <col collapsed="false" customWidth="true" hidden="false" outlineLevel="0" max="3337" min="3337" style="42" width="4.57"/>
    <col collapsed="false" customWidth="true" hidden="false" outlineLevel="0" max="3338" min="3338" style="42" width="17.15"/>
    <col collapsed="false" customWidth="true" hidden="false" outlineLevel="0" max="3339" min="3339" style="42" width="10"/>
    <col collapsed="false" customWidth="true" hidden="false" outlineLevel="0" max="3340" min="3340" style="42" width="11.43"/>
    <col collapsed="false" customWidth="true" hidden="false" outlineLevel="0" max="3341" min="3341" style="42" width="6.29"/>
    <col collapsed="false" customWidth="true" hidden="false" outlineLevel="0" max="3342" min="3342" style="42" width="24.29"/>
    <col collapsed="false" customWidth="true" hidden="false" outlineLevel="0" max="3343" min="3343" style="42" width="10"/>
    <col collapsed="false" customWidth="true" hidden="false" outlineLevel="0" max="3344" min="3344" style="42" width="11.43"/>
    <col collapsed="false" customWidth="true" hidden="false" outlineLevel="0" max="3345" min="3345" style="42" width="6.85"/>
    <col collapsed="false" customWidth="true" hidden="false" outlineLevel="0" max="3346" min="3346" style="42" width="16.29"/>
    <col collapsed="false" customWidth="false" hidden="false" outlineLevel="0" max="3583" min="3347" style="42" width="11.71"/>
    <col collapsed="false" customWidth="true" hidden="false" outlineLevel="0" max="3584" min="3584" style="42" width="12.71"/>
    <col collapsed="false" customWidth="true" hidden="false" outlineLevel="0" max="3585" min="3585" style="42" width="14.14"/>
    <col collapsed="false" customWidth="true" hidden="false" outlineLevel="0" max="3586" min="3586" style="42" width="22.57"/>
    <col collapsed="false" customWidth="true" hidden="false" outlineLevel="0" max="3587" min="3587" style="42" width="10"/>
    <col collapsed="false" customWidth="true" hidden="false" outlineLevel="0" max="3588" min="3588" style="42" width="12.86"/>
    <col collapsed="false" customWidth="true" hidden="false" outlineLevel="0" max="3589" min="3589" style="42" width="4"/>
    <col collapsed="false" customWidth="true" hidden="false" outlineLevel="0" max="3590" min="3590" style="42" width="17"/>
    <col collapsed="false" customWidth="true" hidden="false" outlineLevel="0" max="3591" min="3591" style="42" width="9.42"/>
    <col collapsed="false" customWidth="true" hidden="false" outlineLevel="0" max="3592" min="3592" style="42" width="11.43"/>
    <col collapsed="false" customWidth="true" hidden="false" outlineLevel="0" max="3593" min="3593" style="42" width="4.57"/>
    <col collapsed="false" customWidth="true" hidden="false" outlineLevel="0" max="3594" min="3594" style="42" width="17.15"/>
    <col collapsed="false" customWidth="true" hidden="false" outlineLevel="0" max="3595" min="3595" style="42" width="10"/>
    <col collapsed="false" customWidth="true" hidden="false" outlineLevel="0" max="3596" min="3596" style="42" width="11.43"/>
    <col collapsed="false" customWidth="true" hidden="false" outlineLevel="0" max="3597" min="3597" style="42" width="6.29"/>
    <col collapsed="false" customWidth="true" hidden="false" outlineLevel="0" max="3598" min="3598" style="42" width="24.29"/>
    <col collapsed="false" customWidth="true" hidden="false" outlineLevel="0" max="3599" min="3599" style="42" width="10"/>
    <col collapsed="false" customWidth="true" hidden="false" outlineLevel="0" max="3600" min="3600" style="42" width="11.43"/>
    <col collapsed="false" customWidth="true" hidden="false" outlineLevel="0" max="3601" min="3601" style="42" width="6.85"/>
    <col collapsed="false" customWidth="true" hidden="false" outlineLevel="0" max="3602" min="3602" style="42" width="16.29"/>
    <col collapsed="false" customWidth="false" hidden="false" outlineLevel="0" max="3839" min="3603" style="42" width="11.71"/>
    <col collapsed="false" customWidth="true" hidden="false" outlineLevel="0" max="3840" min="3840" style="42" width="12.71"/>
    <col collapsed="false" customWidth="true" hidden="false" outlineLevel="0" max="3841" min="3841" style="42" width="14.14"/>
    <col collapsed="false" customWidth="true" hidden="false" outlineLevel="0" max="3842" min="3842" style="42" width="22.57"/>
    <col collapsed="false" customWidth="true" hidden="false" outlineLevel="0" max="3843" min="3843" style="42" width="10"/>
    <col collapsed="false" customWidth="true" hidden="false" outlineLevel="0" max="3844" min="3844" style="42" width="12.86"/>
    <col collapsed="false" customWidth="true" hidden="false" outlineLevel="0" max="3845" min="3845" style="42" width="4"/>
    <col collapsed="false" customWidth="true" hidden="false" outlineLevel="0" max="3846" min="3846" style="42" width="17"/>
    <col collapsed="false" customWidth="true" hidden="false" outlineLevel="0" max="3847" min="3847" style="42" width="9.42"/>
    <col collapsed="false" customWidth="true" hidden="false" outlineLevel="0" max="3848" min="3848" style="42" width="11.43"/>
    <col collapsed="false" customWidth="true" hidden="false" outlineLevel="0" max="3849" min="3849" style="42" width="4.57"/>
    <col collapsed="false" customWidth="true" hidden="false" outlineLevel="0" max="3850" min="3850" style="42" width="17.15"/>
    <col collapsed="false" customWidth="true" hidden="false" outlineLevel="0" max="3851" min="3851" style="42" width="10"/>
    <col collapsed="false" customWidth="true" hidden="false" outlineLevel="0" max="3852" min="3852" style="42" width="11.43"/>
    <col collapsed="false" customWidth="true" hidden="false" outlineLevel="0" max="3853" min="3853" style="42" width="6.29"/>
    <col collapsed="false" customWidth="true" hidden="false" outlineLevel="0" max="3854" min="3854" style="42" width="24.29"/>
    <col collapsed="false" customWidth="true" hidden="false" outlineLevel="0" max="3855" min="3855" style="42" width="10"/>
    <col collapsed="false" customWidth="true" hidden="false" outlineLevel="0" max="3856" min="3856" style="42" width="11.43"/>
    <col collapsed="false" customWidth="true" hidden="false" outlineLevel="0" max="3857" min="3857" style="42" width="6.85"/>
    <col collapsed="false" customWidth="true" hidden="false" outlineLevel="0" max="3858" min="3858" style="42" width="16.29"/>
    <col collapsed="false" customWidth="false" hidden="false" outlineLevel="0" max="4095" min="3859" style="42" width="11.71"/>
    <col collapsed="false" customWidth="true" hidden="false" outlineLevel="0" max="4096" min="4096" style="42" width="12.71"/>
    <col collapsed="false" customWidth="true" hidden="false" outlineLevel="0" max="4097" min="4097" style="42" width="14.14"/>
    <col collapsed="false" customWidth="true" hidden="false" outlineLevel="0" max="4098" min="4098" style="42" width="22.57"/>
    <col collapsed="false" customWidth="true" hidden="false" outlineLevel="0" max="4099" min="4099" style="42" width="10"/>
    <col collapsed="false" customWidth="true" hidden="false" outlineLevel="0" max="4100" min="4100" style="42" width="12.86"/>
    <col collapsed="false" customWidth="true" hidden="false" outlineLevel="0" max="4101" min="4101" style="42" width="4"/>
    <col collapsed="false" customWidth="true" hidden="false" outlineLevel="0" max="4102" min="4102" style="42" width="17"/>
    <col collapsed="false" customWidth="true" hidden="false" outlineLevel="0" max="4103" min="4103" style="42" width="9.42"/>
    <col collapsed="false" customWidth="true" hidden="false" outlineLevel="0" max="4104" min="4104" style="42" width="11.43"/>
    <col collapsed="false" customWidth="true" hidden="false" outlineLevel="0" max="4105" min="4105" style="42" width="4.57"/>
    <col collapsed="false" customWidth="true" hidden="false" outlineLevel="0" max="4106" min="4106" style="42" width="17.15"/>
    <col collapsed="false" customWidth="true" hidden="false" outlineLevel="0" max="4107" min="4107" style="42" width="10"/>
    <col collapsed="false" customWidth="true" hidden="false" outlineLevel="0" max="4108" min="4108" style="42" width="11.43"/>
    <col collapsed="false" customWidth="true" hidden="false" outlineLevel="0" max="4109" min="4109" style="42" width="6.29"/>
    <col collapsed="false" customWidth="true" hidden="false" outlineLevel="0" max="4110" min="4110" style="42" width="24.29"/>
    <col collapsed="false" customWidth="true" hidden="false" outlineLevel="0" max="4111" min="4111" style="42" width="10"/>
    <col collapsed="false" customWidth="true" hidden="false" outlineLevel="0" max="4112" min="4112" style="42" width="11.43"/>
    <col collapsed="false" customWidth="true" hidden="false" outlineLevel="0" max="4113" min="4113" style="42" width="6.85"/>
    <col collapsed="false" customWidth="true" hidden="false" outlineLevel="0" max="4114" min="4114" style="42" width="16.29"/>
    <col collapsed="false" customWidth="false" hidden="false" outlineLevel="0" max="4351" min="4115" style="42" width="11.71"/>
    <col collapsed="false" customWidth="true" hidden="false" outlineLevel="0" max="4352" min="4352" style="42" width="12.71"/>
    <col collapsed="false" customWidth="true" hidden="false" outlineLevel="0" max="4353" min="4353" style="42" width="14.14"/>
    <col collapsed="false" customWidth="true" hidden="false" outlineLevel="0" max="4354" min="4354" style="42" width="22.57"/>
    <col collapsed="false" customWidth="true" hidden="false" outlineLevel="0" max="4355" min="4355" style="42" width="10"/>
    <col collapsed="false" customWidth="true" hidden="false" outlineLevel="0" max="4356" min="4356" style="42" width="12.86"/>
    <col collapsed="false" customWidth="true" hidden="false" outlineLevel="0" max="4357" min="4357" style="42" width="4"/>
    <col collapsed="false" customWidth="true" hidden="false" outlineLevel="0" max="4358" min="4358" style="42" width="17"/>
    <col collapsed="false" customWidth="true" hidden="false" outlineLevel="0" max="4359" min="4359" style="42" width="9.42"/>
    <col collapsed="false" customWidth="true" hidden="false" outlineLevel="0" max="4360" min="4360" style="42" width="11.43"/>
    <col collapsed="false" customWidth="true" hidden="false" outlineLevel="0" max="4361" min="4361" style="42" width="4.57"/>
    <col collapsed="false" customWidth="true" hidden="false" outlineLevel="0" max="4362" min="4362" style="42" width="17.15"/>
    <col collapsed="false" customWidth="true" hidden="false" outlineLevel="0" max="4363" min="4363" style="42" width="10"/>
    <col collapsed="false" customWidth="true" hidden="false" outlineLevel="0" max="4364" min="4364" style="42" width="11.43"/>
    <col collapsed="false" customWidth="true" hidden="false" outlineLevel="0" max="4365" min="4365" style="42" width="6.29"/>
    <col collapsed="false" customWidth="true" hidden="false" outlineLevel="0" max="4366" min="4366" style="42" width="24.29"/>
    <col collapsed="false" customWidth="true" hidden="false" outlineLevel="0" max="4367" min="4367" style="42" width="10"/>
    <col collapsed="false" customWidth="true" hidden="false" outlineLevel="0" max="4368" min="4368" style="42" width="11.43"/>
    <col collapsed="false" customWidth="true" hidden="false" outlineLevel="0" max="4369" min="4369" style="42" width="6.85"/>
    <col collapsed="false" customWidth="true" hidden="false" outlineLevel="0" max="4370" min="4370" style="42" width="16.29"/>
    <col collapsed="false" customWidth="false" hidden="false" outlineLevel="0" max="4607" min="4371" style="42" width="11.71"/>
    <col collapsed="false" customWidth="true" hidden="false" outlineLevel="0" max="4608" min="4608" style="42" width="12.71"/>
    <col collapsed="false" customWidth="true" hidden="false" outlineLevel="0" max="4609" min="4609" style="42" width="14.14"/>
    <col collapsed="false" customWidth="true" hidden="false" outlineLevel="0" max="4610" min="4610" style="42" width="22.57"/>
    <col collapsed="false" customWidth="true" hidden="false" outlineLevel="0" max="4611" min="4611" style="42" width="10"/>
    <col collapsed="false" customWidth="true" hidden="false" outlineLevel="0" max="4612" min="4612" style="42" width="12.86"/>
    <col collapsed="false" customWidth="true" hidden="false" outlineLevel="0" max="4613" min="4613" style="42" width="4"/>
    <col collapsed="false" customWidth="true" hidden="false" outlineLevel="0" max="4614" min="4614" style="42" width="17"/>
    <col collapsed="false" customWidth="true" hidden="false" outlineLevel="0" max="4615" min="4615" style="42" width="9.42"/>
    <col collapsed="false" customWidth="true" hidden="false" outlineLevel="0" max="4616" min="4616" style="42" width="11.43"/>
    <col collapsed="false" customWidth="true" hidden="false" outlineLevel="0" max="4617" min="4617" style="42" width="4.57"/>
    <col collapsed="false" customWidth="true" hidden="false" outlineLevel="0" max="4618" min="4618" style="42" width="17.15"/>
    <col collapsed="false" customWidth="true" hidden="false" outlineLevel="0" max="4619" min="4619" style="42" width="10"/>
    <col collapsed="false" customWidth="true" hidden="false" outlineLevel="0" max="4620" min="4620" style="42" width="11.43"/>
    <col collapsed="false" customWidth="true" hidden="false" outlineLevel="0" max="4621" min="4621" style="42" width="6.29"/>
    <col collapsed="false" customWidth="true" hidden="false" outlineLevel="0" max="4622" min="4622" style="42" width="24.29"/>
    <col collapsed="false" customWidth="true" hidden="false" outlineLevel="0" max="4623" min="4623" style="42" width="10"/>
    <col collapsed="false" customWidth="true" hidden="false" outlineLevel="0" max="4624" min="4624" style="42" width="11.43"/>
    <col collapsed="false" customWidth="true" hidden="false" outlineLevel="0" max="4625" min="4625" style="42" width="6.85"/>
    <col collapsed="false" customWidth="true" hidden="false" outlineLevel="0" max="4626" min="4626" style="42" width="16.29"/>
    <col collapsed="false" customWidth="false" hidden="false" outlineLevel="0" max="4863" min="4627" style="42" width="11.71"/>
    <col collapsed="false" customWidth="true" hidden="false" outlineLevel="0" max="4864" min="4864" style="42" width="12.71"/>
    <col collapsed="false" customWidth="true" hidden="false" outlineLevel="0" max="4865" min="4865" style="42" width="14.14"/>
    <col collapsed="false" customWidth="true" hidden="false" outlineLevel="0" max="4866" min="4866" style="42" width="22.57"/>
    <col collapsed="false" customWidth="true" hidden="false" outlineLevel="0" max="4867" min="4867" style="42" width="10"/>
    <col collapsed="false" customWidth="true" hidden="false" outlineLevel="0" max="4868" min="4868" style="42" width="12.86"/>
    <col collapsed="false" customWidth="true" hidden="false" outlineLevel="0" max="4869" min="4869" style="42" width="4"/>
    <col collapsed="false" customWidth="true" hidden="false" outlineLevel="0" max="4870" min="4870" style="42" width="17"/>
    <col collapsed="false" customWidth="true" hidden="false" outlineLevel="0" max="4871" min="4871" style="42" width="9.42"/>
    <col collapsed="false" customWidth="true" hidden="false" outlineLevel="0" max="4872" min="4872" style="42" width="11.43"/>
    <col collapsed="false" customWidth="true" hidden="false" outlineLevel="0" max="4873" min="4873" style="42" width="4.57"/>
    <col collapsed="false" customWidth="true" hidden="false" outlineLevel="0" max="4874" min="4874" style="42" width="17.15"/>
    <col collapsed="false" customWidth="true" hidden="false" outlineLevel="0" max="4875" min="4875" style="42" width="10"/>
    <col collapsed="false" customWidth="true" hidden="false" outlineLevel="0" max="4876" min="4876" style="42" width="11.43"/>
    <col collapsed="false" customWidth="true" hidden="false" outlineLevel="0" max="4877" min="4877" style="42" width="6.29"/>
    <col collapsed="false" customWidth="true" hidden="false" outlineLevel="0" max="4878" min="4878" style="42" width="24.29"/>
    <col collapsed="false" customWidth="true" hidden="false" outlineLevel="0" max="4879" min="4879" style="42" width="10"/>
    <col collapsed="false" customWidth="true" hidden="false" outlineLevel="0" max="4880" min="4880" style="42" width="11.43"/>
    <col collapsed="false" customWidth="true" hidden="false" outlineLevel="0" max="4881" min="4881" style="42" width="6.85"/>
    <col collapsed="false" customWidth="true" hidden="false" outlineLevel="0" max="4882" min="4882" style="42" width="16.29"/>
    <col collapsed="false" customWidth="false" hidden="false" outlineLevel="0" max="5119" min="4883" style="42" width="11.71"/>
    <col collapsed="false" customWidth="true" hidden="false" outlineLevel="0" max="5120" min="5120" style="42" width="12.71"/>
    <col collapsed="false" customWidth="true" hidden="false" outlineLevel="0" max="5121" min="5121" style="42" width="14.14"/>
    <col collapsed="false" customWidth="true" hidden="false" outlineLevel="0" max="5122" min="5122" style="42" width="22.57"/>
    <col collapsed="false" customWidth="true" hidden="false" outlineLevel="0" max="5123" min="5123" style="42" width="10"/>
    <col collapsed="false" customWidth="true" hidden="false" outlineLevel="0" max="5124" min="5124" style="42" width="12.86"/>
    <col collapsed="false" customWidth="true" hidden="false" outlineLevel="0" max="5125" min="5125" style="42" width="4"/>
    <col collapsed="false" customWidth="true" hidden="false" outlineLevel="0" max="5126" min="5126" style="42" width="17"/>
    <col collapsed="false" customWidth="true" hidden="false" outlineLevel="0" max="5127" min="5127" style="42" width="9.42"/>
    <col collapsed="false" customWidth="true" hidden="false" outlineLevel="0" max="5128" min="5128" style="42" width="11.43"/>
    <col collapsed="false" customWidth="true" hidden="false" outlineLevel="0" max="5129" min="5129" style="42" width="4.57"/>
    <col collapsed="false" customWidth="true" hidden="false" outlineLevel="0" max="5130" min="5130" style="42" width="17.15"/>
    <col collapsed="false" customWidth="true" hidden="false" outlineLevel="0" max="5131" min="5131" style="42" width="10"/>
    <col collapsed="false" customWidth="true" hidden="false" outlineLevel="0" max="5132" min="5132" style="42" width="11.43"/>
    <col collapsed="false" customWidth="true" hidden="false" outlineLevel="0" max="5133" min="5133" style="42" width="6.29"/>
    <col collapsed="false" customWidth="true" hidden="false" outlineLevel="0" max="5134" min="5134" style="42" width="24.29"/>
    <col collapsed="false" customWidth="true" hidden="false" outlineLevel="0" max="5135" min="5135" style="42" width="10"/>
    <col collapsed="false" customWidth="true" hidden="false" outlineLevel="0" max="5136" min="5136" style="42" width="11.43"/>
    <col collapsed="false" customWidth="true" hidden="false" outlineLevel="0" max="5137" min="5137" style="42" width="6.85"/>
    <col collapsed="false" customWidth="true" hidden="false" outlineLevel="0" max="5138" min="5138" style="42" width="16.29"/>
    <col collapsed="false" customWidth="false" hidden="false" outlineLevel="0" max="5375" min="5139" style="42" width="11.71"/>
    <col collapsed="false" customWidth="true" hidden="false" outlineLevel="0" max="5376" min="5376" style="42" width="12.71"/>
    <col collapsed="false" customWidth="true" hidden="false" outlineLevel="0" max="5377" min="5377" style="42" width="14.14"/>
    <col collapsed="false" customWidth="true" hidden="false" outlineLevel="0" max="5378" min="5378" style="42" width="22.57"/>
    <col collapsed="false" customWidth="true" hidden="false" outlineLevel="0" max="5379" min="5379" style="42" width="10"/>
    <col collapsed="false" customWidth="true" hidden="false" outlineLevel="0" max="5380" min="5380" style="42" width="12.86"/>
    <col collapsed="false" customWidth="true" hidden="false" outlineLevel="0" max="5381" min="5381" style="42" width="4"/>
    <col collapsed="false" customWidth="true" hidden="false" outlineLevel="0" max="5382" min="5382" style="42" width="17"/>
    <col collapsed="false" customWidth="true" hidden="false" outlineLevel="0" max="5383" min="5383" style="42" width="9.42"/>
    <col collapsed="false" customWidth="true" hidden="false" outlineLevel="0" max="5384" min="5384" style="42" width="11.43"/>
    <col collapsed="false" customWidth="true" hidden="false" outlineLevel="0" max="5385" min="5385" style="42" width="4.57"/>
    <col collapsed="false" customWidth="true" hidden="false" outlineLevel="0" max="5386" min="5386" style="42" width="17.15"/>
    <col collapsed="false" customWidth="true" hidden="false" outlineLevel="0" max="5387" min="5387" style="42" width="10"/>
    <col collapsed="false" customWidth="true" hidden="false" outlineLevel="0" max="5388" min="5388" style="42" width="11.43"/>
    <col collapsed="false" customWidth="true" hidden="false" outlineLevel="0" max="5389" min="5389" style="42" width="6.29"/>
    <col collapsed="false" customWidth="true" hidden="false" outlineLevel="0" max="5390" min="5390" style="42" width="24.29"/>
    <col collapsed="false" customWidth="true" hidden="false" outlineLevel="0" max="5391" min="5391" style="42" width="10"/>
    <col collapsed="false" customWidth="true" hidden="false" outlineLevel="0" max="5392" min="5392" style="42" width="11.43"/>
    <col collapsed="false" customWidth="true" hidden="false" outlineLevel="0" max="5393" min="5393" style="42" width="6.85"/>
    <col collapsed="false" customWidth="true" hidden="false" outlineLevel="0" max="5394" min="5394" style="42" width="16.29"/>
    <col collapsed="false" customWidth="false" hidden="false" outlineLevel="0" max="5631" min="5395" style="42" width="11.71"/>
    <col collapsed="false" customWidth="true" hidden="false" outlineLevel="0" max="5632" min="5632" style="42" width="12.71"/>
    <col collapsed="false" customWidth="true" hidden="false" outlineLevel="0" max="5633" min="5633" style="42" width="14.14"/>
    <col collapsed="false" customWidth="true" hidden="false" outlineLevel="0" max="5634" min="5634" style="42" width="22.57"/>
    <col collapsed="false" customWidth="true" hidden="false" outlineLevel="0" max="5635" min="5635" style="42" width="10"/>
    <col collapsed="false" customWidth="true" hidden="false" outlineLevel="0" max="5636" min="5636" style="42" width="12.86"/>
    <col collapsed="false" customWidth="true" hidden="false" outlineLevel="0" max="5637" min="5637" style="42" width="4"/>
    <col collapsed="false" customWidth="true" hidden="false" outlineLevel="0" max="5638" min="5638" style="42" width="17"/>
    <col collapsed="false" customWidth="true" hidden="false" outlineLevel="0" max="5639" min="5639" style="42" width="9.42"/>
    <col collapsed="false" customWidth="true" hidden="false" outlineLevel="0" max="5640" min="5640" style="42" width="11.43"/>
    <col collapsed="false" customWidth="true" hidden="false" outlineLevel="0" max="5641" min="5641" style="42" width="4.57"/>
    <col collapsed="false" customWidth="true" hidden="false" outlineLevel="0" max="5642" min="5642" style="42" width="17.15"/>
    <col collapsed="false" customWidth="true" hidden="false" outlineLevel="0" max="5643" min="5643" style="42" width="10"/>
    <col collapsed="false" customWidth="true" hidden="false" outlineLevel="0" max="5644" min="5644" style="42" width="11.43"/>
    <col collapsed="false" customWidth="true" hidden="false" outlineLevel="0" max="5645" min="5645" style="42" width="6.29"/>
    <col collapsed="false" customWidth="true" hidden="false" outlineLevel="0" max="5646" min="5646" style="42" width="24.29"/>
    <col collapsed="false" customWidth="true" hidden="false" outlineLevel="0" max="5647" min="5647" style="42" width="10"/>
    <col collapsed="false" customWidth="true" hidden="false" outlineLevel="0" max="5648" min="5648" style="42" width="11.43"/>
    <col collapsed="false" customWidth="true" hidden="false" outlineLevel="0" max="5649" min="5649" style="42" width="6.85"/>
    <col collapsed="false" customWidth="true" hidden="false" outlineLevel="0" max="5650" min="5650" style="42" width="16.29"/>
    <col collapsed="false" customWidth="false" hidden="false" outlineLevel="0" max="5887" min="5651" style="42" width="11.71"/>
    <col collapsed="false" customWidth="true" hidden="false" outlineLevel="0" max="5888" min="5888" style="42" width="12.71"/>
    <col collapsed="false" customWidth="true" hidden="false" outlineLevel="0" max="5889" min="5889" style="42" width="14.14"/>
    <col collapsed="false" customWidth="true" hidden="false" outlineLevel="0" max="5890" min="5890" style="42" width="22.57"/>
    <col collapsed="false" customWidth="true" hidden="false" outlineLevel="0" max="5891" min="5891" style="42" width="10"/>
    <col collapsed="false" customWidth="true" hidden="false" outlineLevel="0" max="5892" min="5892" style="42" width="12.86"/>
    <col collapsed="false" customWidth="true" hidden="false" outlineLevel="0" max="5893" min="5893" style="42" width="4"/>
    <col collapsed="false" customWidth="true" hidden="false" outlineLevel="0" max="5894" min="5894" style="42" width="17"/>
    <col collapsed="false" customWidth="true" hidden="false" outlineLevel="0" max="5895" min="5895" style="42" width="9.42"/>
    <col collapsed="false" customWidth="true" hidden="false" outlineLevel="0" max="5896" min="5896" style="42" width="11.43"/>
    <col collapsed="false" customWidth="true" hidden="false" outlineLevel="0" max="5897" min="5897" style="42" width="4.57"/>
    <col collapsed="false" customWidth="true" hidden="false" outlineLevel="0" max="5898" min="5898" style="42" width="17.15"/>
    <col collapsed="false" customWidth="true" hidden="false" outlineLevel="0" max="5899" min="5899" style="42" width="10"/>
    <col collapsed="false" customWidth="true" hidden="false" outlineLevel="0" max="5900" min="5900" style="42" width="11.43"/>
    <col collapsed="false" customWidth="true" hidden="false" outlineLevel="0" max="5901" min="5901" style="42" width="6.29"/>
    <col collapsed="false" customWidth="true" hidden="false" outlineLevel="0" max="5902" min="5902" style="42" width="24.29"/>
    <col collapsed="false" customWidth="true" hidden="false" outlineLevel="0" max="5903" min="5903" style="42" width="10"/>
    <col collapsed="false" customWidth="true" hidden="false" outlineLevel="0" max="5904" min="5904" style="42" width="11.43"/>
    <col collapsed="false" customWidth="true" hidden="false" outlineLevel="0" max="5905" min="5905" style="42" width="6.85"/>
    <col collapsed="false" customWidth="true" hidden="false" outlineLevel="0" max="5906" min="5906" style="42" width="16.29"/>
    <col collapsed="false" customWidth="false" hidden="false" outlineLevel="0" max="6143" min="5907" style="42" width="11.71"/>
    <col collapsed="false" customWidth="true" hidden="false" outlineLevel="0" max="6144" min="6144" style="42" width="12.71"/>
    <col collapsed="false" customWidth="true" hidden="false" outlineLevel="0" max="6145" min="6145" style="42" width="14.14"/>
    <col collapsed="false" customWidth="true" hidden="false" outlineLevel="0" max="6146" min="6146" style="42" width="22.57"/>
    <col collapsed="false" customWidth="true" hidden="false" outlineLevel="0" max="6147" min="6147" style="42" width="10"/>
    <col collapsed="false" customWidth="true" hidden="false" outlineLevel="0" max="6148" min="6148" style="42" width="12.86"/>
    <col collapsed="false" customWidth="true" hidden="false" outlineLevel="0" max="6149" min="6149" style="42" width="4"/>
    <col collapsed="false" customWidth="true" hidden="false" outlineLevel="0" max="6150" min="6150" style="42" width="17"/>
    <col collapsed="false" customWidth="true" hidden="false" outlineLevel="0" max="6151" min="6151" style="42" width="9.42"/>
    <col collapsed="false" customWidth="true" hidden="false" outlineLevel="0" max="6152" min="6152" style="42" width="11.43"/>
    <col collapsed="false" customWidth="true" hidden="false" outlineLevel="0" max="6153" min="6153" style="42" width="4.57"/>
    <col collapsed="false" customWidth="true" hidden="false" outlineLevel="0" max="6154" min="6154" style="42" width="17.15"/>
    <col collapsed="false" customWidth="true" hidden="false" outlineLevel="0" max="6155" min="6155" style="42" width="10"/>
    <col collapsed="false" customWidth="true" hidden="false" outlineLevel="0" max="6156" min="6156" style="42" width="11.43"/>
    <col collapsed="false" customWidth="true" hidden="false" outlineLevel="0" max="6157" min="6157" style="42" width="6.29"/>
    <col collapsed="false" customWidth="true" hidden="false" outlineLevel="0" max="6158" min="6158" style="42" width="24.29"/>
    <col collapsed="false" customWidth="true" hidden="false" outlineLevel="0" max="6159" min="6159" style="42" width="10"/>
    <col collapsed="false" customWidth="true" hidden="false" outlineLevel="0" max="6160" min="6160" style="42" width="11.43"/>
    <col collapsed="false" customWidth="true" hidden="false" outlineLevel="0" max="6161" min="6161" style="42" width="6.85"/>
    <col collapsed="false" customWidth="true" hidden="false" outlineLevel="0" max="6162" min="6162" style="42" width="16.29"/>
    <col collapsed="false" customWidth="false" hidden="false" outlineLevel="0" max="6399" min="6163" style="42" width="11.71"/>
    <col collapsed="false" customWidth="true" hidden="false" outlineLevel="0" max="6400" min="6400" style="42" width="12.71"/>
    <col collapsed="false" customWidth="true" hidden="false" outlineLevel="0" max="6401" min="6401" style="42" width="14.14"/>
    <col collapsed="false" customWidth="true" hidden="false" outlineLevel="0" max="6402" min="6402" style="42" width="22.57"/>
    <col collapsed="false" customWidth="true" hidden="false" outlineLevel="0" max="6403" min="6403" style="42" width="10"/>
    <col collapsed="false" customWidth="true" hidden="false" outlineLevel="0" max="6404" min="6404" style="42" width="12.86"/>
    <col collapsed="false" customWidth="true" hidden="false" outlineLevel="0" max="6405" min="6405" style="42" width="4"/>
    <col collapsed="false" customWidth="true" hidden="false" outlineLevel="0" max="6406" min="6406" style="42" width="17"/>
    <col collapsed="false" customWidth="true" hidden="false" outlineLevel="0" max="6407" min="6407" style="42" width="9.42"/>
    <col collapsed="false" customWidth="true" hidden="false" outlineLevel="0" max="6408" min="6408" style="42" width="11.43"/>
    <col collapsed="false" customWidth="true" hidden="false" outlineLevel="0" max="6409" min="6409" style="42" width="4.57"/>
    <col collapsed="false" customWidth="true" hidden="false" outlineLevel="0" max="6410" min="6410" style="42" width="17.15"/>
    <col collapsed="false" customWidth="true" hidden="false" outlineLevel="0" max="6411" min="6411" style="42" width="10"/>
    <col collapsed="false" customWidth="true" hidden="false" outlineLevel="0" max="6412" min="6412" style="42" width="11.43"/>
    <col collapsed="false" customWidth="true" hidden="false" outlineLevel="0" max="6413" min="6413" style="42" width="6.29"/>
    <col collapsed="false" customWidth="true" hidden="false" outlineLevel="0" max="6414" min="6414" style="42" width="24.29"/>
    <col collapsed="false" customWidth="true" hidden="false" outlineLevel="0" max="6415" min="6415" style="42" width="10"/>
    <col collapsed="false" customWidth="true" hidden="false" outlineLevel="0" max="6416" min="6416" style="42" width="11.43"/>
    <col collapsed="false" customWidth="true" hidden="false" outlineLevel="0" max="6417" min="6417" style="42" width="6.85"/>
    <col collapsed="false" customWidth="true" hidden="false" outlineLevel="0" max="6418" min="6418" style="42" width="16.29"/>
    <col collapsed="false" customWidth="false" hidden="false" outlineLevel="0" max="6655" min="6419" style="42" width="11.71"/>
    <col collapsed="false" customWidth="true" hidden="false" outlineLevel="0" max="6656" min="6656" style="42" width="12.71"/>
    <col collapsed="false" customWidth="true" hidden="false" outlineLevel="0" max="6657" min="6657" style="42" width="14.14"/>
    <col collapsed="false" customWidth="true" hidden="false" outlineLevel="0" max="6658" min="6658" style="42" width="22.57"/>
    <col collapsed="false" customWidth="true" hidden="false" outlineLevel="0" max="6659" min="6659" style="42" width="10"/>
    <col collapsed="false" customWidth="true" hidden="false" outlineLevel="0" max="6660" min="6660" style="42" width="12.86"/>
    <col collapsed="false" customWidth="true" hidden="false" outlineLevel="0" max="6661" min="6661" style="42" width="4"/>
    <col collapsed="false" customWidth="true" hidden="false" outlineLevel="0" max="6662" min="6662" style="42" width="17"/>
    <col collapsed="false" customWidth="true" hidden="false" outlineLevel="0" max="6663" min="6663" style="42" width="9.42"/>
    <col collapsed="false" customWidth="true" hidden="false" outlineLevel="0" max="6664" min="6664" style="42" width="11.43"/>
    <col collapsed="false" customWidth="true" hidden="false" outlineLevel="0" max="6665" min="6665" style="42" width="4.57"/>
    <col collapsed="false" customWidth="true" hidden="false" outlineLevel="0" max="6666" min="6666" style="42" width="17.15"/>
    <col collapsed="false" customWidth="true" hidden="false" outlineLevel="0" max="6667" min="6667" style="42" width="10"/>
    <col collapsed="false" customWidth="true" hidden="false" outlineLevel="0" max="6668" min="6668" style="42" width="11.43"/>
    <col collapsed="false" customWidth="true" hidden="false" outlineLevel="0" max="6669" min="6669" style="42" width="6.29"/>
    <col collapsed="false" customWidth="true" hidden="false" outlineLevel="0" max="6670" min="6670" style="42" width="24.29"/>
    <col collapsed="false" customWidth="true" hidden="false" outlineLevel="0" max="6671" min="6671" style="42" width="10"/>
    <col collapsed="false" customWidth="true" hidden="false" outlineLevel="0" max="6672" min="6672" style="42" width="11.43"/>
    <col collapsed="false" customWidth="true" hidden="false" outlineLevel="0" max="6673" min="6673" style="42" width="6.85"/>
    <col collapsed="false" customWidth="true" hidden="false" outlineLevel="0" max="6674" min="6674" style="42" width="16.29"/>
    <col collapsed="false" customWidth="false" hidden="false" outlineLevel="0" max="6911" min="6675" style="42" width="11.71"/>
    <col collapsed="false" customWidth="true" hidden="false" outlineLevel="0" max="6912" min="6912" style="42" width="12.71"/>
    <col collapsed="false" customWidth="true" hidden="false" outlineLevel="0" max="6913" min="6913" style="42" width="14.14"/>
    <col collapsed="false" customWidth="true" hidden="false" outlineLevel="0" max="6914" min="6914" style="42" width="22.57"/>
    <col collapsed="false" customWidth="true" hidden="false" outlineLevel="0" max="6915" min="6915" style="42" width="10"/>
    <col collapsed="false" customWidth="true" hidden="false" outlineLevel="0" max="6916" min="6916" style="42" width="12.86"/>
    <col collapsed="false" customWidth="true" hidden="false" outlineLevel="0" max="6917" min="6917" style="42" width="4"/>
    <col collapsed="false" customWidth="true" hidden="false" outlineLevel="0" max="6918" min="6918" style="42" width="17"/>
    <col collapsed="false" customWidth="true" hidden="false" outlineLevel="0" max="6919" min="6919" style="42" width="9.42"/>
    <col collapsed="false" customWidth="true" hidden="false" outlineLevel="0" max="6920" min="6920" style="42" width="11.43"/>
    <col collapsed="false" customWidth="true" hidden="false" outlineLevel="0" max="6921" min="6921" style="42" width="4.57"/>
    <col collapsed="false" customWidth="true" hidden="false" outlineLevel="0" max="6922" min="6922" style="42" width="17.15"/>
    <col collapsed="false" customWidth="true" hidden="false" outlineLevel="0" max="6923" min="6923" style="42" width="10"/>
    <col collapsed="false" customWidth="true" hidden="false" outlineLevel="0" max="6924" min="6924" style="42" width="11.43"/>
    <col collapsed="false" customWidth="true" hidden="false" outlineLevel="0" max="6925" min="6925" style="42" width="6.29"/>
    <col collapsed="false" customWidth="true" hidden="false" outlineLevel="0" max="6926" min="6926" style="42" width="24.29"/>
    <col collapsed="false" customWidth="true" hidden="false" outlineLevel="0" max="6927" min="6927" style="42" width="10"/>
    <col collapsed="false" customWidth="true" hidden="false" outlineLevel="0" max="6928" min="6928" style="42" width="11.43"/>
    <col collapsed="false" customWidth="true" hidden="false" outlineLevel="0" max="6929" min="6929" style="42" width="6.85"/>
    <col collapsed="false" customWidth="true" hidden="false" outlineLevel="0" max="6930" min="6930" style="42" width="16.29"/>
    <col collapsed="false" customWidth="false" hidden="false" outlineLevel="0" max="7167" min="6931" style="42" width="11.71"/>
    <col collapsed="false" customWidth="true" hidden="false" outlineLevel="0" max="7168" min="7168" style="42" width="12.71"/>
    <col collapsed="false" customWidth="true" hidden="false" outlineLevel="0" max="7169" min="7169" style="42" width="14.14"/>
    <col collapsed="false" customWidth="true" hidden="false" outlineLevel="0" max="7170" min="7170" style="42" width="22.57"/>
    <col collapsed="false" customWidth="true" hidden="false" outlineLevel="0" max="7171" min="7171" style="42" width="10"/>
    <col collapsed="false" customWidth="true" hidden="false" outlineLevel="0" max="7172" min="7172" style="42" width="12.86"/>
    <col collapsed="false" customWidth="true" hidden="false" outlineLevel="0" max="7173" min="7173" style="42" width="4"/>
    <col collapsed="false" customWidth="true" hidden="false" outlineLevel="0" max="7174" min="7174" style="42" width="17"/>
    <col collapsed="false" customWidth="true" hidden="false" outlineLevel="0" max="7175" min="7175" style="42" width="9.42"/>
    <col collapsed="false" customWidth="true" hidden="false" outlineLevel="0" max="7176" min="7176" style="42" width="11.43"/>
    <col collapsed="false" customWidth="true" hidden="false" outlineLevel="0" max="7177" min="7177" style="42" width="4.57"/>
    <col collapsed="false" customWidth="true" hidden="false" outlineLevel="0" max="7178" min="7178" style="42" width="17.15"/>
    <col collapsed="false" customWidth="true" hidden="false" outlineLevel="0" max="7179" min="7179" style="42" width="10"/>
    <col collapsed="false" customWidth="true" hidden="false" outlineLevel="0" max="7180" min="7180" style="42" width="11.43"/>
    <col collapsed="false" customWidth="true" hidden="false" outlineLevel="0" max="7181" min="7181" style="42" width="6.29"/>
    <col collapsed="false" customWidth="true" hidden="false" outlineLevel="0" max="7182" min="7182" style="42" width="24.29"/>
    <col collapsed="false" customWidth="true" hidden="false" outlineLevel="0" max="7183" min="7183" style="42" width="10"/>
    <col collapsed="false" customWidth="true" hidden="false" outlineLevel="0" max="7184" min="7184" style="42" width="11.43"/>
    <col collapsed="false" customWidth="true" hidden="false" outlineLevel="0" max="7185" min="7185" style="42" width="6.85"/>
    <col collapsed="false" customWidth="true" hidden="false" outlineLevel="0" max="7186" min="7186" style="42" width="16.29"/>
    <col collapsed="false" customWidth="false" hidden="false" outlineLevel="0" max="7423" min="7187" style="42" width="11.71"/>
    <col collapsed="false" customWidth="true" hidden="false" outlineLevel="0" max="7424" min="7424" style="42" width="12.71"/>
    <col collapsed="false" customWidth="true" hidden="false" outlineLevel="0" max="7425" min="7425" style="42" width="14.14"/>
    <col collapsed="false" customWidth="true" hidden="false" outlineLevel="0" max="7426" min="7426" style="42" width="22.57"/>
    <col collapsed="false" customWidth="true" hidden="false" outlineLevel="0" max="7427" min="7427" style="42" width="10"/>
    <col collapsed="false" customWidth="true" hidden="false" outlineLevel="0" max="7428" min="7428" style="42" width="12.86"/>
    <col collapsed="false" customWidth="true" hidden="false" outlineLevel="0" max="7429" min="7429" style="42" width="4"/>
    <col collapsed="false" customWidth="true" hidden="false" outlineLevel="0" max="7430" min="7430" style="42" width="17"/>
    <col collapsed="false" customWidth="true" hidden="false" outlineLevel="0" max="7431" min="7431" style="42" width="9.42"/>
    <col collapsed="false" customWidth="true" hidden="false" outlineLevel="0" max="7432" min="7432" style="42" width="11.43"/>
    <col collapsed="false" customWidth="true" hidden="false" outlineLevel="0" max="7433" min="7433" style="42" width="4.57"/>
    <col collapsed="false" customWidth="true" hidden="false" outlineLevel="0" max="7434" min="7434" style="42" width="17.15"/>
    <col collapsed="false" customWidth="true" hidden="false" outlineLevel="0" max="7435" min="7435" style="42" width="10"/>
    <col collapsed="false" customWidth="true" hidden="false" outlineLevel="0" max="7436" min="7436" style="42" width="11.43"/>
    <col collapsed="false" customWidth="true" hidden="false" outlineLevel="0" max="7437" min="7437" style="42" width="6.29"/>
    <col collapsed="false" customWidth="true" hidden="false" outlineLevel="0" max="7438" min="7438" style="42" width="24.29"/>
    <col collapsed="false" customWidth="true" hidden="false" outlineLevel="0" max="7439" min="7439" style="42" width="10"/>
    <col collapsed="false" customWidth="true" hidden="false" outlineLevel="0" max="7440" min="7440" style="42" width="11.43"/>
    <col collapsed="false" customWidth="true" hidden="false" outlineLevel="0" max="7441" min="7441" style="42" width="6.85"/>
    <col collapsed="false" customWidth="true" hidden="false" outlineLevel="0" max="7442" min="7442" style="42" width="16.29"/>
    <col collapsed="false" customWidth="false" hidden="false" outlineLevel="0" max="7679" min="7443" style="42" width="11.71"/>
    <col collapsed="false" customWidth="true" hidden="false" outlineLevel="0" max="7680" min="7680" style="42" width="12.71"/>
    <col collapsed="false" customWidth="true" hidden="false" outlineLevel="0" max="7681" min="7681" style="42" width="14.14"/>
    <col collapsed="false" customWidth="true" hidden="false" outlineLevel="0" max="7682" min="7682" style="42" width="22.57"/>
    <col collapsed="false" customWidth="true" hidden="false" outlineLevel="0" max="7683" min="7683" style="42" width="10"/>
    <col collapsed="false" customWidth="true" hidden="false" outlineLevel="0" max="7684" min="7684" style="42" width="12.86"/>
    <col collapsed="false" customWidth="true" hidden="false" outlineLevel="0" max="7685" min="7685" style="42" width="4"/>
    <col collapsed="false" customWidth="true" hidden="false" outlineLevel="0" max="7686" min="7686" style="42" width="17"/>
    <col collapsed="false" customWidth="true" hidden="false" outlineLevel="0" max="7687" min="7687" style="42" width="9.42"/>
    <col collapsed="false" customWidth="true" hidden="false" outlineLevel="0" max="7688" min="7688" style="42" width="11.43"/>
    <col collapsed="false" customWidth="true" hidden="false" outlineLevel="0" max="7689" min="7689" style="42" width="4.57"/>
    <col collapsed="false" customWidth="true" hidden="false" outlineLevel="0" max="7690" min="7690" style="42" width="17.15"/>
    <col collapsed="false" customWidth="true" hidden="false" outlineLevel="0" max="7691" min="7691" style="42" width="10"/>
    <col collapsed="false" customWidth="true" hidden="false" outlineLevel="0" max="7692" min="7692" style="42" width="11.43"/>
    <col collapsed="false" customWidth="true" hidden="false" outlineLevel="0" max="7693" min="7693" style="42" width="6.29"/>
    <col collapsed="false" customWidth="true" hidden="false" outlineLevel="0" max="7694" min="7694" style="42" width="24.29"/>
    <col collapsed="false" customWidth="true" hidden="false" outlineLevel="0" max="7695" min="7695" style="42" width="10"/>
    <col collapsed="false" customWidth="true" hidden="false" outlineLevel="0" max="7696" min="7696" style="42" width="11.43"/>
    <col collapsed="false" customWidth="true" hidden="false" outlineLevel="0" max="7697" min="7697" style="42" width="6.85"/>
    <col collapsed="false" customWidth="true" hidden="false" outlineLevel="0" max="7698" min="7698" style="42" width="16.29"/>
    <col collapsed="false" customWidth="false" hidden="false" outlineLevel="0" max="7935" min="7699" style="42" width="11.71"/>
    <col collapsed="false" customWidth="true" hidden="false" outlineLevel="0" max="7936" min="7936" style="42" width="12.71"/>
    <col collapsed="false" customWidth="true" hidden="false" outlineLevel="0" max="7937" min="7937" style="42" width="14.14"/>
    <col collapsed="false" customWidth="true" hidden="false" outlineLevel="0" max="7938" min="7938" style="42" width="22.57"/>
    <col collapsed="false" customWidth="true" hidden="false" outlineLevel="0" max="7939" min="7939" style="42" width="10"/>
    <col collapsed="false" customWidth="true" hidden="false" outlineLevel="0" max="7940" min="7940" style="42" width="12.86"/>
    <col collapsed="false" customWidth="true" hidden="false" outlineLevel="0" max="7941" min="7941" style="42" width="4"/>
    <col collapsed="false" customWidth="true" hidden="false" outlineLevel="0" max="7942" min="7942" style="42" width="17"/>
    <col collapsed="false" customWidth="true" hidden="false" outlineLevel="0" max="7943" min="7943" style="42" width="9.42"/>
    <col collapsed="false" customWidth="true" hidden="false" outlineLevel="0" max="7944" min="7944" style="42" width="11.43"/>
    <col collapsed="false" customWidth="true" hidden="false" outlineLevel="0" max="7945" min="7945" style="42" width="4.57"/>
    <col collapsed="false" customWidth="true" hidden="false" outlineLevel="0" max="7946" min="7946" style="42" width="17.15"/>
    <col collapsed="false" customWidth="true" hidden="false" outlineLevel="0" max="7947" min="7947" style="42" width="10"/>
    <col collapsed="false" customWidth="true" hidden="false" outlineLevel="0" max="7948" min="7948" style="42" width="11.43"/>
    <col collapsed="false" customWidth="true" hidden="false" outlineLevel="0" max="7949" min="7949" style="42" width="6.29"/>
    <col collapsed="false" customWidth="true" hidden="false" outlineLevel="0" max="7950" min="7950" style="42" width="24.29"/>
    <col collapsed="false" customWidth="true" hidden="false" outlineLevel="0" max="7951" min="7951" style="42" width="10"/>
    <col collapsed="false" customWidth="true" hidden="false" outlineLevel="0" max="7952" min="7952" style="42" width="11.43"/>
    <col collapsed="false" customWidth="true" hidden="false" outlineLevel="0" max="7953" min="7953" style="42" width="6.85"/>
    <col collapsed="false" customWidth="true" hidden="false" outlineLevel="0" max="7954" min="7954" style="42" width="16.29"/>
    <col collapsed="false" customWidth="false" hidden="false" outlineLevel="0" max="8191" min="7955" style="42" width="11.71"/>
    <col collapsed="false" customWidth="true" hidden="false" outlineLevel="0" max="8192" min="8192" style="42" width="12.71"/>
    <col collapsed="false" customWidth="true" hidden="false" outlineLevel="0" max="8193" min="8193" style="42" width="14.14"/>
    <col collapsed="false" customWidth="true" hidden="false" outlineLevel="0" max="8194" min="8194" style="42" width="22.57"/>
    <col collapsed="false" customWidth="true" hidden="false" outlineLevel="0" max="8195" min="8195" style="42" width="10"/>
    <col collapsed="false" customWidth="true" hidden="false" outlineLevel="0" max="8196" min="8196" style="42" width="12.86"/>
    <col collapsed="false" customWidth="true" hidden="false" outlineLevel="0" max="8197" min="8197" style="42" width="4"/>
    <col collapsed="false" customWidth="true" hidden="false" outlineLevel="0" max="8198" min="8198" style="42" width="17"/>
    <col collapsed="false" customWidth="true" hidden="false" outlineLevel="0" max="8199" min="8199" style="42" width="9.42"/>
    <col collapsed="false" customWidth="true" hidden="false" outlineLevel="0" max="8200" min="8200" style="42" width="11.43"/>
    <col collapsed="false" customWidth="true" hidden="false" outlineLevel="0" max="8201" min="8201" style="42" width="4.57"/>
    <col collapsed="false" customWidth="true" hidden="false" outlineLevel="0" max="8202" min="8202" style="42" width="17.15"/>
    <col collapsed="false" customWidth="true" hidden="false" outlineLevel="0" max="8203" min="8203" style="42" width="10"/>
    <col collapsed="false" customWidth="true" hidden="false" outlineLevel="0" max="8204" min="8204" style="42" width="11.43"/>
    <col collapsed="false" customWidth="true" hidden="false" outlineLevel="0" max="8205" min="8205" style="42" width="6.29"/>
    <col collapsed="false" customWidth="true" hidden="false" outlineLevel="0" max="8206" min="8206" style="42" width="24.29"/>
    <col collapsed="false" customWidth="true" hidden="false" outlineLevel="0" max="8207" min="8207" style="42" width="10"/>
    <col collapsed="false" customWidth="true" hidden="false" outlineLevel="0" max="8208" min="8208" style="42" width="11.43"/>
    <col collapsed="false" customWidth="true" hidden="false" outlineLevel="0" max="8209" min="8209" style="42" width="6.85"/>
    <col collapsed="false" customWidth="true" hidden="false" outlineLevel="0" max="8210" min="8210" style="42" width="16.29"/>
    <col collapsed="false" customWidth="false" hidden="false" outlineLevel="0" max="8447" min="8211" style="42" width="11.71"/>
    <col collapsed="false" customWidth="true" hidden="false" outlineLevel="0" max="8448" min="8448" style="42" width="12.71"/>
    <col collapsed="false" customWidth="true" hidden="false" outlineLevel="0" max="8449" min="8449" style="42" width="14.14"/>
    <col collapsed="false" customWidth="true" hidden="false" outlineLevel="0" max="8450" min="8450" style="42" width="22.57"/>
    <col collapsed="false" customWidth="true" hidden="false" outlineLevel="0" max="8451" min="8451" style="42" width="10"/>
    <col collapsed="false" customWidth="true" hidden="false" outlineLevel="0" max="8452" min="8452" style="42" width="12.86"/>
    <col collapsed="false" customWidth="true" hidden="false" outlineLevel="0" max="8453" min="8453" style="42" width="4"/>
    <col collapsed="false" customWidth="true" hidden="false" outlineLevel="0" max="8454" min="8454" style="42" width="17"/>
    <col collapsed="false" customWidth="true" hidden="false" outlineLevel="0" max="8455" min="8455" style="42" width="9.42"/>
    <col collapsed="false" customWidth="true" hidden="false" outlineLevel="0" max="8456" min="8456" style="42" width="11.43"/>
    <col collapsed="false" customWidth="true" hidden="false" outlineLevel="0" max="8457" min="8457" style="42" width="4.57"/>
    <col collapsed="false" customWidth="true" hidden="false" outlineLevel="0" max="8458" min="8458" style="42" width="17.15"/>
    <col collapsed="false" customWidth="true" hidden="false" outlineLevel="0" max="8459" min="8459" style="42" width="10"/>
    <col collapsed="false" customWidth="true" hidden="false" outlineLevel="0" max="8460" min="8460" style="42" width="11.43"/>
    <col collapsed="false" customWidth="true" hidden="false" outlineLevel="0" max="8461" min="8461" style="42" width="6.29"/>
    <col collapsed="false" customWidth="true" hidden="false" outlineLevel="0" max="8462" min="8462" style="42" width="24.29"/>
    <col collapsed="false" customWidth="true" hidden="false" outlineLevel="0" max="8463" min="8463" style="42" width="10"/>
    <col collapsed="false" customWidth="true" hidden="false" outlineLevel="0" max="8464" min="8464" style="42" width="11.43"/>
    <col collapsed="false" customWidth="true" hidden="false" outlineLevel="0" max="8465" min="8465" style="42" width="6.85"/>
    <col collapsed="false" customWidth="true" hidden="false" outlineLevel="0" max="8466" min="8466" style="42" width="16.29"/>
    <col collapsed="false" customWidth="false" hidden="false" outlineLevel="0" max="8703" min="8467" style="42" width="11.71"/>
    <col collapsed="false" customWidth="true" hidden="false" outlineLevel="0" max="8704" min="8704" style="42" width="12.71"/>
    <col collapsed="false" customWidth="true" hidden="false" outlineLevel="0" max="8705" min="8705" style="42" width="14.14"/>
    <col collapsed="false" customWidth="true" hidden="false" outlineLevel="0" max="8706" min="8706" style="42" width="22.57"/>
    <col collapsed="false" customWidth="true" hidden="false" outlineLevel="0" max="8707" min="8707" style="42" width="10"/>
    <col collapsed="false" customWidth="true" hidden="false" outlineLevel="0" max="8708" min="8708" style="42" width="12.86"/>
    <col collapsed="false" customWidth="true" hidden="false" outlineLevel="0" max="8709" min="8709" style="42" width="4"/>
    <col collapsed="false" customWidth="true" hidden="false" outlineLevel="0" max="8710" min="8710" style="42" width="17"/>
    <col collapsed="false" customWidth="true" hidden="false" outlineLevel="0" max="8711" min="8711" style="42" width="9.42"/>
    <col collapsed="false" customWidth="true" hidden="false" outlineLevel="0" max="8712" min="8712" style="42" width="11.43"/>
    <col collapsed="false" customWidth="true" hidden="false" outlineLevel="0" max="8713" min="8713" style="42" width="4.57"/>
    <col collapsed="false" customWidth="true" hidden="false" outlineLevel="0" max="8714" min="8714" style="42" width="17.15"/>
    <col collapsed="false" customWidth="true" hidden="false" outlineLevel="0" max="8715" min="8715" style="42" width="10"/>
    <col collapsed="false" customWidth="true" hidden="false" outlineLevel="0" max="8716" min="8716" style="42" width="11.43"/>
    <col collapsed="false" customWidth="true" hidden="false" outlineLevel="0" max="8717" min="8717" style="42" width="6.29"/>
    <col collapsed="false" customWidth="true" hidden="false" outlineLevel="0" max="8718" min="8718" style="42" width="24.29"/>
    <col collapsed="false" customWidth="true" hidden="false" outlineLevel="0" max="8719" min="8719" style="42" width="10"/>
    <col collapsed="false" customWidth="true" hidden="false" outlineLevel="0" max="8720" min="8720" style="42" width="11.43"/>
    <col collapsed="false" customWidth="true" hidden="false" outlineLevel="0" max="8721" min="8721" style="42" width="6.85"/>
    <col collapsed="false" customWidth="true" hidden="false" outlineLevel="0" max="8722" min="8722" style="42" width="16.29"/>
    <col collapsed="false" customWidth="false" hidden="false" outlineLevel="0" max="8959" min="8723" style="42" width="11.71"/>
    <col collapsed="false" customWidth="true" hidden="false" outlineLevel="0" max="8960" min="8960" style="42" width="12.71"/>
    <col collapsed="false" customWidth="true" hidden="false" outlineLevel="0" max="8961" min="8961" style="42" width="14.14"/>
    <col collapsed="false" customWidth="true" hidden="false" outlineLevel="0" max="8962" min="8962" style="42" width="22.57"/>
    <col collapsed="false" customWidth="true" hidden="false" outlineLevel="0" max="8963" min="8963" style="42" width="10"/>
    <col collapsed="false" customWidth="true" hidden="false" outlineLevel="0" max="8964" min="8964" style="42" width="12.86"/>
    <col collapsed="false" customWidth="true" hidden="false" outlineLevel="0" max="8965" min="8965" style="42" width="4"/>
    <col collapsed="false" customWidth="true" hidden="false" outlineLevel="0" max="8966" min="8966" style="42" width="17"/>
    <col collapsed="false" customWidth="true" hidden="false" outlineLevel="0" max="8967" min="8967" style="42" width="9.42"/>
    <col collapsed="false" customWidth="true" hidden="false" outlineLevel="0" max="8968" min="8968" style="42" width="11.43"/>
    <col collapsed="false" customWidth="true" hidden="false" outlineLevel="0" max="8969" min="8969" style="42" width="4.57"/>
    <col collapsed="false" customWidth="true" hidden="false" outlineLevel="0" max="8970" min="8970" style="42" width="17.15"/>
    <col collapsed="false" customWidth="true" hidden="false" outlineLevel="0" max="8971" min="8971" style="42" width="10"/>
    <col collapsed="false" customWidth="true" hidden="false" outlineLevel="0" max="8972" min="8972" style="42" width="11.43"/>
    <col collapsed="false" customWidth="true" hidden="false" outlineLevel="0" max="8973" min="8973" style="42" width="6.29"/>
    <col collapsed="false" customWidth="true" hidden="false" outlineLevel="0" max="8974" min="8974" style="42" width="24.29"/>
    <col collapsed="false" customWidth="true" hidden="false" outlineLevel="0" max="8975" min="8975" style="42" width="10"/>
    <col collapsed="false" customWidth="true" hidden="false" outlineLevel="0" max="8976" min="8976" style="42" width="11.43"/>
    <col collapsed="false" customWidth="true" hidden="false" outlineLevel="0" max="8977" min="8977" style="42" width="6.85"/>
    <col collapsed="false" customWidth="true" hidden="false" outlineLevel="0" max="8978" min="8978" style="42" width="16.29"/>
    <col collapsed="false" customWidth="false" hidden="false" outlineLevel="0" max="9215" min="8979" style="42" width="11.71"/>
    <col collapsed="false" customWidth="true" hidden="false" outlineLevel="0" max="9216" min="9216" style="42" width="12.71"/>
    <col collapsed="false" customWidth="true" hidden="false" outlineLevel="0" max="9217" min="9217" style="42" width="14.14"/>
    <col collapsed="false" customWidth="true" hidden="false" outlineLevel="0" max="9218" min="9218" style="42" width="22.57"/>
    <col collapsed="false" customWidth="true" hidden="false" outlineLevel="0" max="9219" min="9219" style="42" width="10"/>
    <col collapsed="false" customWidth="true" hidden="false" outlineLevel="0" max="9220" min="9220" style="42" width="12.86"/>
    <col collapsed="false" customWidth="true" hidden="false" outlineLevel="0" max="9221" min="9221" style="42" width="4"/>
    <col collapsed="false" customWidth="true" hidden="false" outlineLevel="0" max="9222" min="9222" style="42" width="17"/>
    <col collapsed="false" customWidth="true" hidden="false" outlineLevel="0" max="9223" min="9223" style="42" width="9.42"/>
    <col collapsed="false" customWidth="true" hidden="false" outlineLevel="0" max="9224" min="9224" style="42" width="11.43"/>
    <col collapsed="false" customWidth="true" hidden="false" outlineLevel="0" max="9225" min="9225" style="42" width="4.57"/>
    <col collapsed="false" customWidth="true" hidden="false" outlineLevel="0" max="9226" min="9226" style="42" width="17.15"/>
    <col collapsed="false" customWidth="true" hidden="false" outlineLevel="0" max="9227" min="9227" style="42" width="10"/>
    <col collapsed="false" customWidth="true" hidden="false" outlineLevel="0" max="9228" min="9228" style="42" width="11.43"/>
    <col collapsed="false" customWidth="true" hidden="false" outlineLevel="0" max="9229" min="9229" style="42" width="6.29"/>
    <col collapsed="false" customWidth="true" hidden="false" outlineLevel="0" max="9230" min="9230" style="42" width="24.29"/>
    <col collapsed="false" customWidth="true" hidden="false" outlineLevel="0" max="9231" min="9231" style="42" width="10"/>
    <col collapsed="false" customWidth="true" hidden="false" outlineLevel="0" max="9232" min="9232" style="42" width="11.43"/>
    <col collapsed="false" customWidth="true" hidden="false" outlineLevel="0" max="9233" min="9233" style="42" width="6.85"/>
    <col collapsed="false" customWidth="true" hidden="false" outlineLevel="0" max="9234" min="9234" style="42" width="16.29"/>
    <col collapsed="false" customWidth="false" hidden="false" outlineLevel="0" max="9471" min="9235" style="42" width="11.71"/>
    <col collapsed="false" customWidth="true" hidden="false" outlineLevel="0" max="9472" min="9472" style="42" width="12.71"/>
    <col collapsed="false" customWidth="true" hidden="false" outlineLevel="0" max="9473" min="9473" style="42" width="14.14"/>
    <col collapsed="false" customWidth="true" hidden="false" outlineLevel="0" max="9474" min="9474" style="42" width="22.57"/>
    <col collapsed="false" customWidth="true" hidden="false" outlineLevel="0" max="9475" min="9475" style="42" width="10"/>
    <col collapsed="false" customWidth="true" hidden="false" outlineLevel="0" max="9476" min="9476" style="42" width="12.86"/>
    <col collapsed="false" customWidth="true" hidden="false" outlineLevel="0" max="9477" min="9477" style="42" width="4"/>
    <col collapsed="false" customWidth="true" hidden="false" outlineLevel="0" max="9478" min="9478" style="42" width="17"/>
    <col collapsed="false" customWidth="true" hidden="false" outlineLevel="0" max="9479" min="9479" style="42" width="9.42"/>
    <col collapsed="false" customWidth="true" hidden="false" outlineLevel="0" max="9480" min="9480" style="42" width="11.43"/>
    <col collapsed="false" customWidth="true" hidden="false" outlineLevel="0" max="9481" min="9481" style="42" width="4.57"/>
    <col collapsed="false" customWidth="true" hidden="false" outlineLevel="0" max="9482" min="9482" style="42" width="17.15"/>
    <col collapsed="false" customWidth="true" hidden="false" outlineLevel="0" max="9483" min="9483" style="42" width="10"/>
    <col collapsed="false" customWidth="true" hidden="false" outlineLevel="0" max="9484" min="9484" style="42" width="11.43"/>
    <col collapsed="false" customWidth="true" hidden="false" outlineLevel="0" max="9485" min="9485" style="42" width="6.29"/>
    <col collapsed="false" customWidth="true" hidden="false" outlineLevel="0" max="9486" min="9486" style="42" width="24.29"/>
    <col collapsed="false" customWidth="true" hidden="false" outlineLevel="0" max="9487" min="9487" style="42" width="10"/>
    <col collapsed="false" customWidth="true" hidden="false" outlineLevel="0" max="9488" min="9488" style="42" width="11.43"/>
    <col collapsed="false" customWidth="true" hidden="false" outlineLevel="0" max="9489" min="9489" style="42" width="6.85"/>
    <col collapsed="false" customWidth="true" hidden="false" outlineLevel="0" max="9490" min="9490" style="42" width="16.29"/>
    <col collapsed="false" customWidth="false" hidden="false" outlineLevel="0" max="9727" min="9491" style="42" width="11.71"/>
    <col collapsed="false" customWidth="true" hidden="false" outlineLevel="0" max="9728" min="9728" style="42" width="12.71"/>
    <col collapsed="false" customWidth="true" hidden="false" outlineLevel="0" max="9729" min="9729" style="42" width="14.14"/>
    <col collapsed="false" customWidth="true" hidden="false" outlineLevel="0" max="9730" min="9730" style="42" width="22.57"/>
    <col collapsed="false" customWidth="true" hidden="false" outlineLevel="0" max="9731" min="9731" style="42" width="10"/>
    <col collapsed="false" customWidth="true" hidden="false" outlineLevel="0" max="9732" min="9732" style="42" width="12.86"/>
    <col collapsed="false" customWidth="true" hidden="false" outlineLevel="0" max="9733" min="9733" style="42" width="4"/>
    <col collapsed="false" customWidth="true" hidden="false" outlineLevel="0" max="9734" min="9734" style="42" width="17"/>
    <col collapsed="false" customWidth="true" hidden="false" outlineLevel="0" max="9735" min="9735" style="42" width="9.42"/>
    <col collapsed="false" customWidth="true" hidden="false" outlineLevel="0" max="9736" min="9736" style="42" width="11.43"/>
    <col collapsed="false" customWidth="true" hidden="false" outlineLevel="0" max="9737" min="9737" style="42" width="4.57"/>
    <col collapsed="false" customWidth="true" hidden="false" outlineLevel="0" max="9738" min="9738" style="42" width="17.15"/>
    <col collapsed="false" customWidth="true" hidden="false" outlineLevel="0" max="9739" min="9739" style="42" width="10"/>
    <col collapsed="false" customWidth="true" hidden="false" outlineLevel="0" max="9740" min="9740" style="42" width="11.43"/>
    <col collapsed="false" customWidth="true" hidden="false" outlineLevel="0" max="9741" min="9741" style="42" width="6.29"/>
    <col collapsed="false" customWidth="true" hidden="false" outlineLevel="0" max="9742" min="9742" style="42" width="24.29"/>
    <col collapsed="false" customWidth="true" hidden="false" outlineLevel="0" max="9743" min="9743" style="42" width="10"/>
    <col collapsed="false" customWidth="true" hidden="false" outlineLevel="0" max="9744" min="9744" style="42" width="11.43"/>
    <col collapsed="false" customWidth="true" hidden="false" outlineLevel="0" max="9745" min="9745" style="42" width="6.85"/>
    <col collapsed="false" customWidth="true" hidden="false" outlineLevel="0" max="9746" min="9746" style="42" width="16.29"/>
    <col collapsed="false" customWidth="false" hidden="false" outlineLevel="0" max="9983" min="9747" style="42" width="11.71"/>
    <col collapsed="false" customWidth="true" hidden="false" outlineLevel="0" max="9984" min="9984" style="42" width="12.71"/>
    <col collapsed="false" customWidth="true" hidden="false" outlineLevel="0" max="9985" min="9985" style="42" width="14.14"/>
    <col collapsed="false" customWidth="true" hidden="false" outlineLevel="0" max="9986" min="9986" style="42" width="22.57"/>
    <col collapsed="false" customWidth="true" hidden="false" outlineLevel="0" max="9987" min="9987" style="42" width="10"/>
    <col collapsed="false" customWidth="true" hidden="false" outlineLevel="0" max="9988" min="9988" style="42" width="12.86"/>
    <col collapsed="false" customWidth="true" hidden="false" outlineLevel="0" max="9989" min="9989" style="42" width="4"/>
    <col collapsed="false" customWidth="true" hidden="false" outlineLevel="0" max="9990" min="9990" style="42" width="17"/>
    <col collapsed="false" customWidth="true" hidden="false" outlineLevel="0" max="9991" min="9991" style="42" width="9.42"/>
    <col collapsed="false" customWidth="true" hidden="false" outlineLevel="0" max="9992" min="9992" style="42" width="11.43"/>
    <col collapsed="false" customWidth="true" hidden="false" outlineLevel="0" max="9993" min="9993" style="42" width="4.57"/>
    <col collapsed="false" customWidth="true" hidden="false" outlineLevel="0" max="9994" min="9994" style="42" width="17.15"/>
    <col collapsed="false" customWidth="true" hidden="false" outlineLevel="0" max="9995" min="9995" style="42" width="10"/>
    <col collapsed="false" customWidth="true" hidden="false" outlineLevel="0" max="9996" min="9996" style="42" width="11.43"/>
    <col collapsed="false" customWidth="true" hidden="false" outlineLevel="0" max="9997" min="9997" style="42" width="6.29"/>
    <col collapsed="false" customWidth="true" hidden="false" outlineLevel="0" max="9998" min="9998" style="42" width="24.29"/>
    <col collapsed="false" customWidth="true" hidden="false" outlineLevel="0" max="9999" min="9999" style="42" width="10"/>
    <col collapsed="false" customWidth="true" hidden="false" outlineLevel="0" max="10000" min="10000" style="42" width="11.43"/>
    <col collapsed="false" customWidth="true" hidden="false" outlineLevel="0" max="10001" min="10001" style="42" width="6.85"/>
    <col collapsed="false" customWidth="true" hidden="false" outlineLevel="0" max="10002" min="10002" style="42" width="16.29"/>
    <col collapsed="false" customWidth="false" hidden="false" outlineLevel="0" max="10239" min="10003" style="42" width="11.71"/>
    <col collapsed="false" customWidth="true" hidden="false" outlineLevel="0" max="10240" min="10240" style="42" width="12.71"/>
    <col collapsed="false" customWidth="true" hidden="false" outlineLevel="0" max="10241" min="10241" style="42" width="14.14"/>
    <col collapsed="false" customWidth="true" hidden="false" outlineLevel="0" max="10242" min="10242" style="42" width="22.57"/>
    <col collapsed="false" customWidth="true" hidden="false" outlineLevel="0" max="10243" min="10243" style="42" width="10"/>
    <col collapsed="false" customWidth="true" hidden="false" outlineLevel="0" max="10244" min="10244" style="42" width="12.86"/>
    <col collapsed="false" customWidth="true" hidden="false" outlineLevel="0" max="10245" min="10245" style="42" width="4"/>
    <col collapsed="false" customWidth="true" hidden="false" outlineLevel="0" max="10246" min="10246" style="42" width="17"/>
    <col collapsed="false" customWidth="true" hidden="false" outlineLevel="0" max="10247" min="10247" style="42" width="9.42"/>
    <col collapsed="false" customWidth="true" hidden="false" outlineLevel="0" max="10248" min="10248" style="42" width="11.43"/>
    <col collapsed="false" customWidth="true" hidden="false" outlineLevel="0" max="10249" min="10249" style="42" width="4.57"/>
    <col collapsed="false" customWidth="true" hidden="false" outlineLevel="0" max="10250" min="10250" style="42" width="17.15"/>
    <col collapsed="false" customWidth="true" hidden="false" outlineLevel="0" max="10251" min="10251" style="42" width="10"/>
    <col collapsed="false" customWidth="true" hidden="false" outlineLevel="0" max="10252" min="10252" style="42" width="11.43"/>
    <col collapsed="false" customWidth="true" hidden="false" outlineLevel="0" max="10253" min="10253" style="42" width="6.29"/>
    <col collapsed="false" customWidth="true" hidden="false" outlineLevel="0" max="10254" min="10254" style="42" width="24.29"/>
    <col collapsed="false" customWidth="true" hidden="false" outlineLevel="0" max="10255" min="10255" style="42" width="10"/>
    <col collapsed="false" customWidth="true" hidden="false" outlineLevel="0" max="10256" min="10256" style="42" width="11.43"/>
    <col collapsed="false" customWidth="true" hidden="false" outlineLevel="0" max="10257" min="10257" style="42" width="6.85"/>
    <col collapsed="false" customWidth="true" hidden="false" outlineLevel="0" max="10258" min="10258" style="42" width="16.29"/>
    <col collapsed="false" customWidth="false" hidden="false" outlineLevel="0" max="10495" min="10259" style="42" width="11.71"/>
    <col collapsed="false" customWidth="true" hidden="false" outlineLevel="0" max="10496" min="10496" style="42" width="12.71"/>
    <col collapsed="false" customWidth="true" hidden="false" outlineLevel="0" max="10497" min="10497" style="42" width="14.14"/>
    <col collapsed="false" customWidth="true" hidden="false" outlineLevel="0" max="10498" min="10498" style="42" width="22.57"/>
    <col collapsed="false" customWidth="true" hidden="false" outlineLevel="0" max="10499" min="10499" style="42" width="10"/>
    <col collapsed="false" customWidth="true" hidden="false" outlineLevel="0" max="10500" min="10500" style="42" width="12.86"/>
    <col collapsed="false" customWidth="true" hidden="false" outlineLevel="0" max="10501" min="10501" style="42" width="4"/>
    <col collapsed="false" customWidth="true" hidden="false" outlineLevel="0" max="10502" min="10502" style="42" width="17"/>
    <col collapsed="false" customWidth="true" hidden="false" outlineLevel="0" max="10503" min="10503" style="42" width="9.42"/>
    <col collapsed="false" customWidth="true" hidden="false" outlineLevel="0" max="10504" min="10504" style="42" width="11.43"/>
    <col collapsed="false" customWidth="true" hidden="false" outlineLevel="0" max="10505" min="10505" style="42" width="4.57"/>
    <col collapsed="false" customWidth="true" hidden="false" outlineLevel="0" max="10506" min="10506" style="42" width="17.15"/>
    <col collapsed="false" customWidth="true" hidden="false" outlineLevel="0" max="10507" min="10507" style="42" width="10"/>
    <col collapsed="false" customWidth="true" hidden="false" outlineLevel="0" max="10508" min="10508" style="42" width="11.43"/>
    <col collapsed="false" customWidth="true" hidden="false" outlineLevel="0" max="10509" min="10509" style="42" width="6.29"/>
    <col collapsed="false" customWidth="true" hidden="false" outlineLevel="0" max="10510" min="10510" style="42" width="24.29"/>
    <col collapsed="false" customWidth="true" hidden="false" outlineLevel="0" max="10511" min="10511" style="42" width="10"/>
    <col collapsed="false" customWidth="true" hidden="false" outlineLevel="0" max="10512" min="10512" style="42" width="11.43"/>
    <col collapsed="false" customWidth="true" hidden="false" outlineLevel="0" max="10513" min="10513" style="42" width="6.85"/>
    <col collapsed="false" customWidth="true" hidden="false" outlineLevel="0" max="10514" min="10514" style="42" width="16.29"/>
    <col collapsed="false" customWidth="false" hidden="false" outlineLevel="0" max="10751" min="10515" style="42" width="11.71"/>
    <col collapsed="false" customWidth="true" hidden="false" outlineLevel="0" max="10752" min="10752" style="42" width="12.71"/>
    <col collapsed="false" customWidth="true" hidden="false" outlineLevel="0" max="10753" min="10753" style="42" width="14.14"/>
    <col collapsed="false" customWidth="true" hidden="false" outlineLevel="0" max="10754" min="10754" style="42" width="22.57"/>
    <col collapsed="false" customWidth="true" hidden="false" outlineLevel="0" max="10755" min="10755" style="42" width="10"/>
    <col collapsed="false" customWidth="true" hidden="false" outlineLevel="0" max="10756" min="10756" style="42" width="12.86"/>
    <col collapsed="false" customWidth="true" hidden="false" outlineLevel="0" max="10757" min="10757" style="42" width="4"/>
    <col collapsed="false" customWidth="true" hidden="false" outlineLevel="0" max="10758" min="10758" style="42" width="17"/>
    <col collapsed="false" customWidth="true" hidden="false" outlineLevel="0" max="10759" min="10759" style="42" width="9.42"/>
    <col collapsed="false" customWidth="true" hidden="false" outlineLevel="0" max="10760" min="10760" style="42" width="11.43"/>
    <col collapsed="false" customWidth="true" hidden="false" outlineLevel="0" max="10761" min="10761" style="42" width="4.57"/>
    <col collapsed="false" customWidth="true" hidden="false" outlineLevel="0" max="10762" min="10762" style="42" width="17.15"/>
    <col collapsed="false" customWidth="true" hidden="false" outlineLevel="0" max="10763" min="10763" style="42" width="10"/>
    <col collapsed="false" customWidth="true" hidden="false" outlineLevel="0" max="10764" min="10764" style="42" width="11.43"/>
    <col collapsed="false" customWidth="true" hidden="false" outlineLevel="0" max="10765" min="10765" style="42" width="6.29"/>
    <col collapsed="false" customWidth="true" hidden="false" outlineLevel="0" max="10766" min="10766" style="42" width="24.29"/>
    <col collapsed="false" customWidth="true" hidden="false" outlineLevel="0" max="10767" min="10767" style="42" width="10"/>
    <col collapsed="false" customWidth="true" hidden="false" outlineLevel="0" max="10768" min="10768" style="42" width="11.43"/>
    <col collapsed="false" customWidth="true" hidden="false" outlineLevel="0" max="10769" min="10769" style="42" width="6.85"/>
    <col collapsed="false" customWidth="true" hidden="false" outlineLevel="0" max="10770" min="10770" style="42" width="16.29"/>
    <col collapsed="false" customWidth="false" hidden="false" outlineLevel="0" max="11007" min="10771" style="42" width="11.71"/>
    <col collapsed="false" customWidth="true" hidden="false" outlineLevel="0" max="11008" min="11008" style="42" width="12.71"/>
    <col collapsed="false" customWidth="true" hidden="false" outlineLevel="0" max="11009" min="11009" style="42" width="14.14"/>
    <col collapsed="false" customWidth="true" hidden="false" outlineLevel="0" max="11010" min="11010" style="42" width="22.57"/>
    <col collapsed="false" customWidth="true" hidden="false" outlineLevel="0" max="11011" min="11011" style="42" width="10"/>
    <col collapsed="false" customWidth="true" hidden="false" outlineLevel="0" max="11012" min="11012" style="42" width="12.86"/>
    <col collapsed="false" customWidth="true" hidden="false" outlineLevel="0" max="11013" min="11013" style="42" width="4"/>
    <col collapsed="false" customWidth="true" hidden="false" outlineLevel="0" max="11014" min="11014" style="42" width="17"/>
    <col collapsed="false" customWidth="true" hidden="false" outlineLevel="0" max="11015" min="11015" style="42" width="9.42"/>
    <col collapsed="false" customWidth="true" hidden="false" outlineLevel="0" max="11016" min="11016" style="42" width="11.43"/>
    <col collapsed="false" customWidth="true" hidden="false" outlineLevel="0" max="11017" min="11017" style="42" width="4.57"/>
    <col collapsed="false" customWidth="true" hidden="false" outlineLevel="0" max="11018" min="11018" style="42" width="17.15"/>
    <col collapsed="false" customWidth="true" hidden="false" outlineLevel="0" max="11019" min="11019" style="42" width="10"/>
    <col collapsed="false" customWidth="true" hidden="false" outlineLevel="0" max="11020" min="11020" style="42" width="11.43"/>
    <col collapsed="false" customWidth="true" hidden="false" outlineLevel="0" max="11021" min="11021" style="42" width="6.29"/>
    <col collapsed="false" customWidth="true" hidden="false" outlineLevel="0" max="11022" min="11022" style="42" width="24.29"/>
    <col collapsed="false" customWidth="true" hidden="false" outlineLevel="0" max="11023" min="11023" style="42" width="10"/>
    <col collapsed="false" customWidth="true" hidden="false" outlineLevel="0" max="11024" min="11024" style="42" width="11.43"/>
    <col collapsed="false" customWidth="true" hidden="false" outlineLevel="0" max="11025" min="11025" style="42" width="6.85"/>
    <col collapsed="false" customWidth="true" hidden="false" outlineLevel="0" max="11026" min="11026" style="42" width="16.29"/>
    <col collapsed="false" customWidth="false" hidden="false" outlineLevel="0" max="11263" min="11027" style="42" width="11.71"/>
    <col collapsed="false" customWidth="true" hidden="false" outlineLevel="0" max="11264" min="11264" style="42" width="12.71"/>
    <col collapsed="false" customWidth="true" hidden="false" outlineLevel="0" max="11265" min="11265" style="42" width="14.14"/>
    <col collapsed="false" customWidth="true" hidden="false" outlineLevel="0" max="11266" min="11266" style="42" width="22.57"/>
    <col collapsed="false" customWidth="true" hidden="false" outlineLevel="0" max="11267" min="11267" style="42" width="10"/>
    <col collapsed="false" customWidth="true" hidden="false" outlineLevel="0" max="11268" min="11268" style="42" width="12.86"/>
    <col collapsed="false" customWidth="true" hidden="false" outlineLevel="0" max="11269" min="11269" style="42" width="4"/>
    <col collapsed="false" customWidth="true" hidden="false" outlineLevel="0" max="11270" min="11270" style="42" width="17"/>
    <col collapsed="false" customWidth="true" hidden="false" outlineLevel="0" max="11271" min="11271" style="42" width="9.42"/>
    <col collapsed="false" customWidth="true" hidden="false" outlineLevel="0" max="11272" min="11272" style="42" width="11.43"/>
    <col collapsed="false" customWidth="true" hidden="false" outlineLevel="0" max="11273" min="11273" style="42" width="4.57"/>
    <col collapsed="false" customWidth="true" hidden="false" outlineLevel="0" max="11274" min="11274" style="42" width="17.15"/>
    <col collapsed="false" customWidth="true" hidden="false" outlineLevel="0" max="11275" min="11275" style="42" width="10"/>
    <col collapsed="false" customWidth="true" hidden="false" outlineLevel="0" max="11276" min="11276" style="42" width="11.43"/>
    <col collapsed="false" customWidth="true" hidden="false" outlineLevel="0" max="11277" min="11277" style="42" width="6.29"/>
    <col collapsed="false" customWidth="true" hidden="false" outlineLevel="0" max="11278" min="11278" style="42" width="24.29"/>
    <col collapsed="false" customWidth="true" hidden="false" outlineLevel="0" max="11279" min="11279" style="42" width="10"/>
    <col collapsed="false" customWidth="true" hidden="false" outlineLevel="0" max="11280" min="11280" style="42" width="11.43"/>
    <col collapsed="false" customWidth="true" hidden="false" outlineLevel="0" max="11281" min="11281" style="42" width="6.85"/>
    <col collapsed="false" customWidth="true" hidden="false" outlineLevel="0" max="11282" min="11282" style="42" width="16.29"/>
    <col collapsed="false" customWidth="false" hidden="false" outlineLevel="0" max="11519" min="11283" style="42" width="11.71"/>
    <col collapsed="false" customWidth="true" hidden="false" outlineLevel="0" max="11520" min="11520" style="42" width="12.71"/>
    <col collapsed="false" customWidth="true" hidden="false" outlineLevel="0" max="11521" min="11521" style="42" width="14.14"/>
    <col collapsed="false" customWidth="true" hidden="false" outlineLevel="0" max="11522" min="11522" style="42" width="22.57"/>
    <col collapsed="false" customWidth="true" hidden="false" outlineLevel="0" max="11523" min="11523" style="42" width="10"/>
    <col collapsed="false" customWidth="true" hidden="false" outlineLevel="0" max="11524" min="11524" style="42" width="12.86"/>
    <col collapsed="false" customWidth="true" hidden="false" outlineLevel="0" max="11525" min="11525" style="42" width="4"/>
    <col collapsed="false" customWidth="true" hidden="false" outlineLevel="0" max="11526" min="11526" style="42" width="17"/>
    <col collapsed="false" customWidth="true" hidden="false" outlineLevel="0" max="11527" min="11527" style="42" width="9.42"/>
    <col collapsed="false" customWidth="true" hidden="false" outlineLevel="0" max="11528" min="11528" style="42" width="11.43"/>
    <col collapsed="false" customWidth="true" hidden="false" outlineLevel="0" max="11529" min="11529" style="42" width="4.57"/>
    <col collapsed="false" customWidth="true" hidden="false" outlineLevel="0" max="11530" min="11530" style="42" width="17.15"/>
    <col collapsed="false" customWidth="true" hidden="false" outlineLevel="0" max="11531" min="11531" style="42" width="10"/>
    <col collapsed="false" customWidth="true" hidden="false" outlineLevel="0" max="11532" min="11532" style="42" width="11.43"/>
    <col collapsed="false" customWidth="true" hidden="false" outlineLevel="0" max="11533" min="11533" style="42" width="6.29"/>
    <col collapsed="false" customWidth="true" hidden="false" outlineLevel="0" max="11534" min="11534" style="42" width="24.29"/>
    <col collapsed="false" customWidth="true" hidden="false" outlineLevel="0" max="11535" min="11535" style="42" width="10"/>
    <col collapsed="false" customWidth="true" hidden="false" outlineLevel="0" max="11536" min="11536" style="42" width="11.43"/>
    <col collapsed="false" customWidth="true" hidden="false" outlineLevel="0" max="11537" min="11537" style="42" width="6.85"/>
    <col collapsed="false" customWidth="true" hidden="false" outlineLevel="0" max="11538" min="11538" style="42" width="16.29"/>
    <col collapsed="false" customWidth="false" hidden="false" outlineLevel="0" max="11775" min="11539" style="42" width="11.71"/>
    <col collapsed="false" customWidth="true" hidden="false" outlineLevel="0" max="11776" min="11776" style="42" width="12.71"/>
    <col collapsed="false" customWidth="true" hidden="false" outlineLevel="0" max="11777" min="11777" style="42" width="14.14"/>
    <col collapsed="false" customWidth="true" hidden="false" outlineLevel="0" max="11778" min="11778" style="42" width="22.57"/>
    <col collapsed="false" customWidth="true" hidden="false" outlineLevel="0" max="11779" min="11779" style="42" width="10"/>
    <col collapsed="false" customWidth="true" hidden="false" outlineLevel="0" max="11780" min="11780" style="42" width="12.86"/>
    <col collapsed="false" customWidth="true" hidden="false" outlineLevel="0" max="11781" min="11781" style="42" width="4"/>
    <col collapsed="false" customWidth="true" hidden="false" outlineLevel="0" max="11782" min="11782" style="42" width="17"/>
    <col collapsed="false" customWidth="true" hidden="false" outlineLevel="0" max="11783" min="11783" style="42" width="9.42"/>
    <col collapsed="false" customWidth="true" hidden="false" outlineLevel="0" max="11784" min="11784" style="42" width="11.43"/>
    <col collapsed="false" customWidth="true" hidden="false" outlineLevel="0" max="11785" min="11785" style="42" width="4.57"/>
    <col collapsed="false" customWidth="true" hidden="false" outlineLevel="0" max="11786" min="11786" style="42" width="17.15"/>
    <col collapsed="false" customWidth="true" hidden="false" outlineLevel="0" max="11787" min="11787" style="42" width="10"/>
    <col collapsed="false" customWidth="true" hidden="false" outlineLevel="0" max="11788" min="11788" style="42" width="11.43"/>
    <col collapsed="false" customWidth="true" hidden="false" outlineLevel="0" max="11789" min="11789" style="42" width="6.29"/>
    <col collapsed="false" customWidth="true" hidden="false" outlineLevel="0" max="11790" min="11790" style="42" width="24.29"/>
    <col collapsed="false" customWidth="true" hidden="false" outlineLevel="0" max="11791" min="11791" style="42" width="10"/>
    <col collapsed="false" customWidth="true" hidden="false" outlineLevel="0" max="11792" min="11792" style="42" width="11.43"/>
    <col collapsed="false" customWidth="true" hidden="false" outlineLevel="0" max="11793" min="11793" style="42" width="6.85"/>
    <col collapsed="false" customWidth="true" hidden="false" outlineLevel="0" max="11794" min="11794" style="42" width="16.29"/>
    <col collapsed="false" customWidth="false" hidden="false" outlineLevel="0" max="12031" min="11795" style="42" width="11.71"/>
    <col collapsed="false" customWidth="true" hidden="false" outlineLevel="0" max="12032" min="12032" style="42" width="12.71"/>
    <col collapsed="false" customWidth="true" hidden="false" outlineLevel="0" max="12033" min="12033" style="42" width="14.14"/>
    <col collapsed="false" customWidth="true" hidden="false" outlineLevel="0" max="12034" min="12034" style="42" width="22.57"/>
    <col collapsed="false" customWidth="true" hidden="false" outlineLevel="0" max="12035" min="12035" style="42" width="10"/>
    <col collapsed="false" customWidth="true" hidden="false" outlineLevel="0" max="12036" min="12036" style="42" width="12.86"/>
    <col collapsed="false" customWidth="true" hidden="false" outlineLevel="0" max="12037" min="12037" style="42" width="4"/>
    <col collapsed="false" customWidth="true" hidden="false" outlineLevel="0" max="12038" min="12038" style="42" width="17"/>
    <col collapsed="false" customWidth="true" hidden="false" outlineLevel="0" max="12039" min="12039" style="42" width="9.42"/>
    <col collapsed="false" customWidth="true" hidden="false" outlineLevel="0" max="12040" min="12040" style="42" width="11.43"/>
    <col collapsed="false" customWidth="true" hidden="false" outlineLevel="0" max="12041" min="12041" style="42" width="4.57"/>
    <col collapsed="false" customWidth="true" hidden="false" outlineLevel="0" max="12042" min="12042" style="42" width="17.15"/>
    <col collapsed="false" customWidth="true" hidden="false" outlineLevel="0" max="12043" min="12043" style="42" width="10"/>
    <col collapsed="false" customWidth="true" hidden="false" outlineLevel="0" max="12044" min="12044" style="42" width="11.43"/>
    <col collapsed="false" customWidth="true" hidden="false" outlineLevel="0" max="12045" min="12045" style="42" width="6.29"/>
    <col collapsed="false" customWidth="true" hidden="false" outlineLevel="0" max="12046" min="12046" style="42" width="24.29"/>
    <col collapsed="false" customWidth="true" hidden="false" outlineLevel="0" max="12047" min="12047" style="42" width="10"/>
    <col collapsed="false" customWidth="true" hidden="false" outlineLevel="0" max="12048" min="12048" style="42" width="11.43"/>
    <col collapsed="false" customWidth="true" hidden="false" outlineLevel="0" max="12049" min="12049" style="42" width="6.85"/>
    <col collapsed="false" customWidth="true" hidden="false" outlineLevel="0" max="12050" min="12050" style="42" width="16.29"/>
    <col collapsed="false" customWidth="false" hidden="false" outlineLevel="0" max="12287" min="12051" style="42" width="11.71"/>
    <col collapsed="false" customWidth="true" hidden="false" outlineLevel="0" max="12288" min="12288" style="42" width="12.71"/>
    <col collapsed="false" customWidth="true" hidden="false" outlineLevel="0" max="12289" min="12289" style="42" width="14.14"/>
    <col collapsed="false" customWidth="true" hidden="false" outlineLevel="0" max="12290" min="12290" style="42" width="22.57"/>
    <col collapsed="false" customWidth="true" hidden="false" outlineLevel="0" max="12291" min="12291" style="42" width="10"/>
    <col collapsed="false" customWidth="true" hidden="false" outlineLevel="0" max="12292" min="12292" style="42" width="12.86"/>
    <col collapsed="false" customWidth="true" hidden="false" outlineLevel="0" max="12293" min="12293" style="42" width="4"/>
    <col collapsed="false" customWidth="true" hidden="false" outlineLevel="0" max="12294" min="12294" style="42" width="17"/>
    <col collapsed="false" customWidth="true" hidden="false" outlineLevel="0" max="12295" min="12295" style="42" width="9.42"/>
    <col collapsed="false" customWidth="true" hidden="false" outlineLevel="0" max="12296" min="12296" style="42" width="11.43"/>
    <col collapsed="false" customWidth="true" hidden="false" outlineLevel="0" max="12297" min="12297" style="42" width="4.57"/>
    <col collapsed="false" customWidth="true" hidden="false" outlineLevel="0" max="12298" min="12298" style="42" width="17.15"/>
    <col collapsed="false" customWidth="true" hidden="false" outlineLevel="0" max="12299" min="12299" style="42" width="10"/>
    <col collapsed="false" customWidth="true" hidden="false" outlineLevel="0" max="12300" min="12300" style="42" width="11.43"/>
    <col collapsed="false" customWidth="true" hidden="false" outlineLevel="0" max="12301" min="12301" style="42" width="6.29"/>
    <col collapsed="false" customWidth="true" hidden="false" outlineLevel="0" max="12302" min="12302" style="42" width="24.29"/>
    <col collapsed="false" customWidth="true" hidden="false" outlineLevel="0" max="12303" min="12303" style="42" width="10"/>
    <col collapsed="false" customWidth="true" hidden="false" outlineLevel="0" max="12304" min="12304" style="42" width="11.43"/>
    <col collapsed="false" customWidth="true" hidden="false" outlineLevel="0" max="12305" min="12305" style="42" width="6.85"/>
    <col collapsed="false" customWidth="true" hidden="false" outlineLevel="0" max="12306" min="12306" style="42" width="16.29"/>
    <col collapsed="false" customWidth="false" hidden="false" outlineLevel="0" max="12543" min="12307" style="42" width="11.71"/>
    <col collapsed="false" customWidth="true" hidden="false" outlineLevel="0" max="12544" min="12544" style="42" width="12.71"/>
    <col collapsed="false" customWidth="true" hidden="false" outlineLevel="0" max="12545" min="12545" style="42" width="14.14"/>
    <col collapsed="false" customWidth="true" hidden="false" outlineLevel="0" max="12546" min="12546" style="42" width="22.57"/>
    <col collapsed="false" customWidth="true" hidden="false" outlineLevel="0" max="12547" min="12547" style="42" width="10"/>
    <col collapsed="false" customWidth="true" hidden="false" outlineLevel="0" max="12548" min="12548" style="42" width="12.86"/>
    <col collapsed="false" customWidth="true" hidden="false" outlineLevel="0" max="12549" min="12549" style="42" width="4"/>
    <col collapsed="false" customWidth="true" hidden="false" outlineLevel="0" max="12550" min="12550" style="42" width="17"/>
    <col collapsed="false" customWidth="true" hidden="false" outlineLevel="0" max="12551" min="12551" style="42" width="9.42"/>
    <col collapsed="false" customWidth="true" hidden="false" outlineLevel="0" max="12552" min="12552" style="42" width="11.43"/>
    <col collapsed="false" customWidth="true" hidden="false" outlineLevel="0" max="12553" min="12553" style="42" width="4.57"/>
    <col collapsed="false" customWidth="true" hidden="false" outlineLevel="0" max="12554" min="12554" style="42" width="17.15"/>
    <col collapsed="false" customWidth="true" hidden="false" outlineLevel="0" max="12555" min="12555" style="42" width="10"/>
    <col collapsed="false" customWidth="true" hidden="false" outlineLevel="0" max="12556" min="12556" style="42" width="11.43"/>
    <col collapsed="false" customWidth="true" hidden="false" outlineLevel="0" max="12557" min="12557" style="42" width="6.29"/>
    <col collapsed="false" customWidth="true" hidden="false" outlineLevel="0" max="12558" min="12558" style="42" width="24.29"/>
    <col collapsed="false" customWidth="true" hidden="false" outlineLevel="0" max="12559" min="12559" style="42" width="10"/>
    <col collapsed="false" customWidth="true" hidden="false" outlineLevel="0" max="12560" min="12560" style="42" width="11.43"/>
    <col collapsed="false" customWidth="true" hidden="false" outlineLevel="0" max="12561" min="12561" style="42" width="6.85"/>
    <col collapsed="false" customWidth="true" hidden="false" outlineLevel="0" max="12562" min="12562" style="42" width="16.29"/>
    <col collapsed="false" customWidth="false" hidden="false" outlineLevel="0" max="12799" min="12563" style="42" width="11.71"/>
    <col collapsed="false" customWidth="true" hidden="false" outlineLevel="0" max="12800" min="12800" style="42" width="12.71"/>
    <col collapsed="false" customWidth="true" hidden="false" outlineLevel="0" max="12801" min="12801" style="42" width="14.14"/>
    <col collapsed="false" customWidth="true" hidden="false" outlineLevel="0" max="12802" min="12802" style="42" width="22.57"/>
    <col collapsed="false" customWidth="true" hidden="false" outlineLevel="0" max="12803" min="12803" style="42" width="10"/>
    <col collapsed="false" customWidth="true" hidden="false" outlineLevel="0" max="12804" min="12804" style="42" width="12.86"/>
    <col collapsed="false" customWidth="true" hidden="false" outlineLevel="0" max="12805" min="12805" style="42" width="4"/>
    <col collapsed="false" customWidth="true" hidden="false" outlineLevel="0" max="12806" min="12806" style="42" width="17"/>
    <col collapsed="false" customWidth="true" hidden="false" outlineLevel="0" max="12807" min="12807" style="42" width="9.42"/>
    <col collapsed="false" customWidth="true" hidden="false" outlineLevel="0" max="12808" min="12808" style="42" width="11.43"/>
    <col collapsed="false" customWidth="true" hidden="false" outlineLevel="0" max="12809" min="12809" style="42" width="4.57"/>
    <col collapsed="false" customWidth="true" hidden="false" outlineLevel="0" max="12810" min="12810" style="42" width="17.15"/>
    <col collapsed="false" customWidth="true" hidden="false" outlineLevel="0" max="12811" min="12811" style="42" width="10"/>
    <col collapsed="false" customWidth="true" hidden="false" outlineLevel="0" max="12812" min="12812" style="42" width="11.43"/>
    <col collapsed="false" customWidth="true" hidden="false" outlineLevel="0" max="12813" min="12813" style="42" width="6.29"/>
    <col collapsed="false" customWidth="true" hidden="false" outlineLevel="0" max="12814" min="12814" style="42" width="24.29"/>
    <col collapsed="false" customWidth="true" hidden="false" outlineLevel="0" max="12815" min="12815" style="42" width="10"/>
    <col collapsed="false" customWidth="true" hidden="false" outlineLevel="0" max="12816" min="12816" style="42" width="11.43"/>
    <col collapsed="false" customWidth="true" hidden="false" outlineLevel="0" max="12817" min="12817" style="42" width="6.85"/>
    <col collapsed="false" customWidth="true" hidden="false" outlineLevel="0" max="12818" min="12818" style="42" width="16.29"/>
    <col collapsed="false" customWidth="false" hidden="false" outlineLevel="0" max="13055" min="12819" style="42" width="11.71"/>
    <col collapsed="false" customWidth="true" hidden="false" outlineLevel="0" max="13056" min="13056" style="42" width="12.71"/>
    <col collapsed="false" customWidth="true" hidden="false" outlineLevel="0" max="13057" min="13057" style="42" width="14.14"/>
    <col collapsed="false" customWidth="true" hidden="false" outlineLevel="0" max="13058" min="13058" style="42" width="22.57"/>
    <col collapsed="false" customWidth="true" hidden="false" outlineLevel="0" max="13059" min="13059" style="42" width="10"/>
    <col collapsed="false" customWidth="true" hidden="false" outlineLevel="0" max="13060" min="13060" style="42" width="12.86"/>
    <col collapsed="false" customWidth="true" hidden="false" outlineLevel="0" max="13061" min="13061" style="42" width="4"/>
    <col collapsed="false" customWidth="true" hidden="false" outlineLevel="0" max="13062" min="13062" style="42" width="17"/>
    <col collapsed="false" customWidth="true" hidden="false" outlineLevel="0" max="13063" min="13063" style="42" width="9.42"/>
    <col collapsed="false" customWidth="true" hidden="false" outlineLevel="0" max="13064" min="13064" style="42" width="11.43"/>
    <col collapsed="false" customWidth="true" hidden="false" outlineLevel="0" max="13065" min="13065" style="42" width="4.57"/>
    <col collapsed="false" customWidth="true" hidden="false" outlineLevel="0" max="13066" min="13066" style="42" width="17.15"/>
    <col collapsed="false" customWidth="true" hidden="false" outlineLevel="0" max="13067" min="13067" style="42" width="10"/>
    <col collapsed="false" customWidth="true" hidden="false" outlineLevel="0" max="13068" min="13068" style="42" width="11.43"/>
    <col collapsed="false" customWidth="true" hidden="false" outlineLevel="0" max="13069" min="13069" style="42" width="6.29"/>
    <col collapsed="false" customWidth="true" hidden="false" outlineLevel="0" max="13070" min="13070" style="42" width="24.29"/>
    <col collapsed="false" customWidth="true" hidden="false" outlineLevel="0" max="13071" min="13071" style="42" width="10"/>
    <col collapsed="false" customWidth="true" hidden="false" outlineLevel="0" max="13072" min="13072" style="42" width="11.43"/>
    <col collapsed="false" customWidth="true" hidden="false" outlineLevel="0" max="13073" min="13073" style="42" width="6.85"/>
    <col collapsed="false" customWidth="true" hidden="false" outlineLevel="0" max="13074" min="13074" style="42" width="16.29"/>
    <col collapsed="false" customWidth="false" hidden="false" outlineLevel="0" max="13311" min="13075" style="42" width="11.71"/>
    <col collapsed="false" customWidth="true" hidden="false" outlineLevel="0" max="13312" min="13312" style="42" width="12.71"/>
    <col collapsed="false" customWidth="true" hidden="false" outlineLevel="0" max="13313" min="13313" style="42" width="14.14"/>
    <col collapsed="false" customWidth="true" hidden="false" outlineLevel="0" max="13314" min="13314" style="42" width="22.57"/>
    <col collapsed="false" customWidth="true" hidden="false" outlineLevel="0" max="13315" min="13315" style="42" width="10"/>
    <col collapsed="false" customWidth="true" hidden="false" outlineLevel="0" max="13316" min="13316" style="42" width="12.86"/>
    <col collapsed="false" customWidth="true" hidden="false" outlineLevel="0" max="13317" min="13317" style="42" width="4"/>
    <col collapsed="false" customWidth="true" hidden="false" outlineLevel="0" max="13318" min="13318" style="42" width="17"/>
    <col collapsed="false" customWidth="true" hidden="false" outlineLevel="0" max="13319" min="13319" style="42" width="9.42"/>
    <col collapsed="false" customWidth="true" hidden="false" outlineLevel="0" max="13320" min="13320" style="42" width="11.43"/>
    <col collapsed="false" customWidth="true" hidden="false" outlineLevel="0" max="13321" min="13321" style="42" width="4.57"/>
    <col collapsed="false" customWidth="true" hidden="false" outlineLevel="0" max="13322" min="13322" style="42" width="17.15"/>
    <col collapsed="false" customWidth="true" hidden="false" outlineLevel="0" max="13323" min="13323" style="42" width="10"/>
    <col collapsed="false" customWidth="true" hidden="false" outlineLevel="0" max="13324" min="13324" style="42" width="11.43"/>
    <col collapsed="false" customWidth="true" hidden="false" outlineLevel="0" max="13325" min="13325" style="42" width="6.29"/>
    <col collapsed="false" customWidth="true" hidden="false" outlineLevel="0" max="13326" min="13326" style="42" width="24.29"/>
    <col collapsed="false" customWidth="true" hidden="false" outlineLevel="0" max="13327" min="13327" style="42" width="10"/>
    <col collapsed="false" customWidth="true" hidden="false" outlineLevel="0" max="13328" min="13328" style="42" width="11.43"/>
    <col collapsed="false" customWidth="true" hidden="false" outlineLevel="0" max="13329" min="13329" style="42" width="6.85"/>
    <col collapsed="false" customWidth="true" hidden="false" outlineLevel="0" max="13330" min="13330" style="42" width="16.29"/>
    <col collapsed="false" customWidth="false" hidden="false" outlineLevel="0" max="13567" min="13331" style="42" width="11.71"/>
    <col collapsed="false" customWidth="true" hidden="false" outlineLevel="0" max="13568" min="13568" style="42" width="12.71"/>
    <col collapsed="false" customWidth="true" hidden="false" outlineLevel="0" max="13569" min="13569" style="42" width="14.14"/>
    <col collapsed="false" customWidth="true" hidden="false" outlineLevel="0" max="13570" min="13570" style="42" width="22.57"/>
    <col collapsed="false" customWidth="true" hidden="false" outlineLevel="0" max="13571" min="13571" style="42" width="10"/>
    <col collapsed="false" customWidth="true" hidden="false" outlineLevel="0" max="13572" min="13572" style="42" width="12.86"/>
    <col collapsed="false" customWidth="true" hidden="false" outlineLevel="0" max="13573" min="13573" style="42" width="4"/>
    <col collapsed="false" customWidth="true" hidden="false" outlineLevel="0" max="13574" min="13574" style="42" width="17"/>
    <col collapsed="false" customWidth="true" hidden="false" outlineLevel="0" max="13575" min="13575" style="42" width="9.42"/>
    <col collapsed="false" customWidth="true" hidden="false" outlineLevel="0" max="13576" min="13576" style="42" width="11.43"/>
    <col collapsed="false" customWidth="true" hidden="false" outlineLevel="0" max="13577" min="13577" style="42" width="4.57"/>
    <col collapsed="false" customWidth="true" hidden="false" outlineLevel="0" max="13578" min="13578" style="42" width="17.15"/>
    <col collapsed="false" customWidth="true" hidden="false" outlineLevel="0" max="13579" min="13579" style="42" width="10"/>
    <col collapsed="false" customWidth="true" hidden="false" outlineLevel="0" max="13580" min="13580" style="42" width="11.43"/>
    <col collapsed="false" customWidth="true" hidden="false" outlineLevel="0" max="13581" min="13581" style="42" width="6.29"/>
    <col collapsed="false" customWidth="true" hidden="false" outlineLevel="0" max="13582" min="13582" style="42" width="24.29"/>
    <col collapsed="false" customWidth="true" hidden="false" outlineLevel="0" max="13583" min="13583" style="42" width="10"/>
    <col collapsed="false" customWidth="true" hidden="false" outlineLevel="0" max="13584" min="13584" style="42" width="11.43"/>
    <col collapsed="false" customWidth="true" hidden="false" outlineLevel="0" max="13585" min="13585" style="42" width="6.85"/>
    <col collapsed="false" customWidth="true" hidden="false" outlineLevel="0" max="13586" min="13586" style="42" width="16.29"/>
    <col collapsed="false" customWidth="false" hidden="false" outlineLevel="0" max="13823" min="13587" style="42" width="11.71"/>
    <col collapsed="false" customWidth="true" hidden="false" outlineLevel="0" max="13824" min="13824" style="42" width="12.71"/>
    <col collapsed="false" customWidth="true" hidden="false" outlineLevel="0" max="13825" min="13825" style="42" width="14.14"/>
    <col collapsed="false" customWidth="true" hidden="false" outlineLevel="0" max="13826" min="13826" style="42" width="22.57"/>
    <col collapsed="false" customWidth="true" hidden="false" outlineLevel="0" max="13827" min="13827" style="42" width="10"/>
    <col collapsed="false" customWidth="true" hidden="false" outlineLevel="0" max="13828" min="13828" style="42" width="12.86"/>
    <col collapsed="false" customWidth="true" hidden="false" outlineLevel="0" max="13829" min="13829" style="42" width="4"/>
    <col collapsed="false" customWidth="true" hidden="false" outlineLevel="0" max="13830" min="13830" style="42" width="17"/>
    <col collapsed="false" customWidth="true" hidden="false" outlineLevel="0" max="13831" min="13831" style="42" width="9.42"/>
    <col collapsed="false" customWidth="true" hidden="false" outlineLevel="0" max="13832" min="13832" style="42" width="11.43"/>
    <col collapsed="false" customWidth="true" hidden="false" outlineLevel="0" max="13833" min="13833" style="42" width="4.57"/>
    <col collapsed="false" customWidth="true" hidden="false" outlineLevel="0" max="13834" min="13834" style="42" width="17.15"/>
    <col collapsed="false" customWidth="true" hidden="false" outlineLevel="0" max="13835" min="13835" style="42" width="10"/>
    <col collapsed="false" customWidth="true" hidden="false" outlineLevel="0" max="13836" min="13836" style="42" width="11.43"/>
    <col collapsed="false" customWidth="true" hidden="false" outlineLevel="0" max="13837" min="13837" style="42" width="6.29"/>
    <col collapsed="false" customWidth="true" hidden="false" outlineLevel="0" max="13838" min="13838" style="42" width="24.29"/>
    <col collapsed="false" customWidth="true" hidden="false" outlineLevel="0" max="13839" min="13839" style="42" width="10"/>
    <col collapsed="false" customWidth="true" hidden="false" outlineLevel="0" max="13840" min="13840" style="42" width="11.43"/>
    <col collapsed="false" customWidth="true" hidden="false" outlineLevel="0" max="13841" min="13841" style="42" width="6.85"/>
    <col collapsed="false" customWidth="true" hidden="false" outlineLevel="0" max="13842" min="13842" style="42" width="16.29"/>
    <col collapsed="false" customWidth="false" hidden="false" outlineLevel="0" max="14079" min="13843" style="42" width="11.71"/>
    <col collapsed="false" customWidth="true" hidden="false" outlineLevel="0" max="14080" min="14080" style="42" width="12.71"/>
    <col collapsed="false" customWidth="true" hidden="false" outlineLevel="0" max="14081" min="14081" style="42" width="14.14"/>
    <col collapsed="false" customWidth="true" hidden="false" outlineLevel="0" max="14082" min="14082" style="42" width="22.57"/>
    <col collapsed="false" customWidth="true" hidden="false" outlineLevel="0" max="14083" min="14083" style="42" width="10"/>
    <col collapsed="false" customWidth="true" hidden="false" outlineLevel="0" max="14084" min="14084" style="42" width="12.86"/>
    <col collapsed="false" customWidth="true" hidden="false" outlineLevel="0" max="14085" min="14085" style="42" width="4"/>
    <col collapsed="false" customWidth="true" hidden="false" outlineLevel="0" max="14086" min="14086" style="42" width="17"/>
    <col collapsed="false" customWidth="true" hidden="false" outlineLevel="0" max="14087" min="14087" style="42" width="9.42"/>
    <col collapsed="false" customWidth="true" hidden="false" outlineLevel="0" max="14088" min="14088" style="42" width="11.43"/>
    <col collapsed="false" customWidth="true" hidden="false" outlineLevel="0" max="14089" min="14089" style="42" width="4.57"/>
    <col collapsed="false" customWidth="true" hidden="false" outlineLevel="0" max="14090" min="14090" style="42" width="17.15"/>
    <col collapsed="false" customWidth="true" hidden="false" outlineLevel="0" max="14091" min="14091" style="42" width="10"/>
    <col collapsed="false" customWidth="true" hidden="false" outlineLevel="0" max="14092" min="14092" style="42" width="11.43"/>
    <col collapsed="false" customWidth="true" hidden="false" outlineLevel="0" max="14093" min="14093" style="42" width="6.29"/>
    <col collapsed="false" customWidth="true" hidden="false" outlineLevel="0" max="14094" min="14094" style="42" width="24.29"/>
    <col collapsed="false" customWidth="true" hidden="false" outlineLevel="0" max="14095" min="14095" style="42" width="10"/>
    <col collapsed="false" customWidth="true" hidden="false" outlineLevel="0" max="14096" min="14096" style="42" width="11.43"/>
    <col collapsed="false" customWidth="true" hidden="false" outlineLevel="0" max="14097" min="14097" style="42" width="6.85"/>
    <col collapsed="false" customWidth="true" hidden="false" outlineLevel="0" max="14098" min="14098" style="42" width="16.29"/>
    <col collapsed="false" customWidth="false" hidden="false" outlineLevel="0" max="14335" min="14099" style="42" width="11.71"/>
    <col collapsed="false" customWidth="true" hidden="false" outlineLevel="0" max="14336" min="14336" style="42" width="12.71"/>
    <col collapsed="false" customWidth="true" hidden="false" outlineLevel="0" max="14337" min="14337" style="42" width="14.14"/>
    <col collapsed="false" customWidth="true" hidden="false" outlineLevel="0" max="14338" min="14338" style="42" width="22.57"/>
    <col collapsed="false" customWidth="true" hidden="false" outlineLevel="0" max="14339" min="14339" style="42" width="10"/>
    <col collapsed="false" customWidth="true" hidden="false" outlineLevel="0" max="14340" min="14340" style="42" width="12.86"/>
    <col collapsed="false" customWidth="true" hidden="false" outlineLevel="0" max="14341" min="14341" style="42" width="4"/>
    <col collapsed="false" customWidth="true" hidden="false" outlineLevel="0" max="14342" min="14342" style="42" width="17"/>
    <col collapsed="false" customWidth="true" hidden="false" outlineLevel="0" max="14343" min="14343" style="42" width="9.42"/>
    <col collapsed="false" customWidth="true" hidden="false" outlineLevel="0" max="14344" min="14344" style="42" width="11.43"/>
    <col collapsed="false" customWidth="true" hidden="false" outlineLevel="0" max="14345" min="14345" style="42" width="4.57"/>
    <col collapsed="false" customWidth="true" hidden="false" outlineLevel="0" max="14346" min="14346" style="42" width="17.15"/>
    <col collapsed="false" customWidth="true" hidden="false" outlineLevel="0" max="14347" min="14347" style="42" width="10"/>
    <col collapsed="false" customWidth="true" hidden="false" outlineLevel="0" max="14348" min="14348" style="42" width="11.43"/>
    <col collapsed="false" customWidth="true" hidden="false" outlineLevel="0" max="14349" min="14349" style="42" width="6.29"/>
    <col collapsed="false" customWidth="true" hidden="false" outlineLevel="0" max="14350" min="14350" style="42" width="24.29"/>
    <col collapsed="false" customWidth="true" hidden="false" outlineLevel="0" max="14351" min="14351" style="42" width="10"/>
    <col collapsed="false" customWidth="true" hidden="false" outlineLevel="0" max="14352" min="14352" style="42" width="11.43"/>
    <col collapsed="false" customWidth="true" hidden="false" outlineLevel="0" max="14353" min="14353" style="42" width="6.85"/>
    <col collapsed="false" customWidth="true" hidden="false" outlineLevel="0" max="14354" min="14354" style="42" width="16.29"/>
    <col collapsed="false" customWidth="false" hidden="false" outlineLevel="0" max="14591" min="14355" style="42" width="11.71"/>
    <col collapsed="false" customWidth="true" hidden="false" outlineLevel="0" max="14592" min="14592" style="42" width="12.71"/>
    <col collapsed="false" customWidth="true" hidden="false" outlineLevel="0" max="14593" min="14593" style="42" width="14.14"/>
    <col collapsed="false" customWidth="true" hidden="false" outlineLevel="0" max="14594" min="14594" style="42" width="22.57"/>
    <col collapsed="false" customWidth="true" hidden="false" outlineLevel="0" max="14595" min="14595" style="42" width="10"/>
    <col collapsed="false" customWidth="true" hidden="false" outlineLevel="0" max="14596" min="14596" style="42" width="12.86"/>
    <col collapsed="false" customWidth="true" hidden="false" outlineLevel="0" max="14597" min="14597" style="42" width="4"/>
    <col collapsed="false" customWidth="true" hidden="false" outlineLevel="0" max="14598" min="14598" style="42" width="17"/>
    <col collapsed="false" customWidth="true" hidden="false" outlineLevel="0" max="14599" min="14599" style="42" width="9.42"/>
    <col collapsed="false" customWidth="true" hidden="false" outlineLevel="0" max="14600" min="14600" style="42" width="11.43"/>
    <col collapsed="false" customWidth="true" hidden="false" outlineLevel="0" max="14601" min="14601" style="42" width="4.57"/>
    <col collapsed="false" customWidth="true" hidden="false" outlineLevel="0" max="14602" min="14602" style="42" width="17.15"/>
    <col collapsed="false" customWidth="true" hidden="false" outlineLevel="0" max="14603" min="14603" style="42" width="10"/>
    <col collapsed="false" customWidth="true" hidden="false" outlineLevel="0" max="14604" min="14604" style="42" width="11.43"/>
    <col collapsed="false" customWidth="true" hidden="false" outlineLevel="0" max="14605" min="14605" style="42" width="6.29"/>
    <col collapsed="false" customWidth="true" hidden="false" outlineLevel="0" max="14606" min="14606" style="42" width="24.29"/>
    <col collapsed="false" customWidth="true" hidden="false" outlineLevel="0" max="14607" min="14607" style="42" width="10"/>
    <col collapsed="false" customWidth="true" hidden="false" outlineLevel="0" max="14608" min="14608" style="42" width="11.43"/>
    <col collapsed="false" customWidth="true" hidden="false" outlineLevel="0" max="14609" min="14609" style="42" width="6.85"/>
    <col collapsed="false" customWidth="true" hidden="false" outlineLevel="0" max="14610" min="14610" style="42" width="16.29"/>
    <col collapsed="false" customWidth="false" hidden="false" outlineLevel="0" max="14847" min="14611" style="42" width="11.71"/>
    <col collapsed="false" customWidth="true" hidden="false" outlineLevel="0" max="14848" min="14848" style="42" width="12.71"/>
    <col collapsed="false" customWidth="true" hidden="false" outlineLevel="0" max="14849" min="14849" style="42" width="14.14"/>
    <col collapsed="false" customWidth="true" hidden="false" outlineLevel="0" max="14850" min="14850" style="42" width="22.57"/>
    <col collapsed="false" customWidth="true" hidden="false" outlineLevel="0" max="14851" min="14851" style="42" width="10"/>
    <col collapsed="false" customWidth="true" hidden="false" outlineLevel="0" max="14852" min="14852" style="42" width="12.86"/>
    <col collapsed="false" customWidth="true" hidden="false" outlineLevel="0" max="14853" min="14853" style="42" width="4"/>
    <col collapsed="false" customWidth="true" hidden="false" outlineLevel="0" max="14854" min="14854" style="42" width="17"/>
    <col collapsed="false" customWidth="true" hidden="false" outlineLevel="0" max="14855" min="14855" style="42" width="9.42"/>
    <col collapsed="false" customWidth="true" hidden="false" outlineLevel="0" max="14856" min="14856" style="42" width="11.43"/>
    <col collapsed="false" customWidth="true" hidden="false" outlineLevel="0" max="14857" min="14857" style="42" width="4.57"/>
    <col collapsed="false" customWidth="true" hidden="false" outlineLevel="0" max="14858" min="14858" style="42" width="17.15"/>
    <col collapsed="false" customWidth="true" hidden="false" outlineLevel="0" max="14859" min="14859" style="42" width="10"/>
    <col collapsed="false" customWidth="true" hidden="false" outlineLevel="0" max="14860" min="14860" style="42" width="11.43"/>
    <col collapsed="false" customWidth="true" hidden="false" outlineLevel="0" max="14861" min="14861" style="42" width="6.29"/>
    <col collapsed="false" customWidth="true" hidden="false" outlineLevel="0" max="14862" min="14862" style="42" width="24.29"/>
    <col collapsed="false" customWidth="true" hidden="false" outlineLevel="0" max="14863" min="14863" style="42" width="10"/>
    <col collapsed="false" customWidth="true" hidden="false" outlineLevel="0" max="14864" min="14864" style="42" width="11.43"/>
    <col collapsed="false" customWidth="true" hidden="false" outlineLevel="0" max="14865" min="14865" style="42" width="6.85"/>
    <col collapsed="false" customWidth="true" hidden="false" outlineLevel="0" max="14866" min="14866" style="42" width="16.29"/>
    <col collapsed="false" customWidth="false" hidden="false" outlineLevel="0" max="15103" min="14867" style="42" width="11.71"/>
    <col collapsed="false" customWidth="true" hidden="false" outlineLevel="0" max="15104" min="15104" style="42" width="12.71"/>
    <col collapsed="false" customWidth="true" hidden="false" outlineLevel="0" max="15105" min="15105" style="42" width="14.14"/>
    <col collapsed="false" customWidth="true" hidden="false" outlineLevel="0" max="15106" min="15106" style="42" width="22.57"/>
    <col collapsed="false" customWidth="true" hidden="false" outlineLevel="0" max="15107" min="15107" style="42" width="10"/>
    <col collapsed="false" customWidth="true" hidden="false" outlineLevel="0" max="15108" min="15108" style="42" width="12.86"/>
    <col collapsed="false" customWidth="true" hidden="false" outlineLevel="0" max="15109" min="15109" style="42" width="4"/>
    <col collapsed="false" customWidth="true" hidden="false" outlineLevel="0" max="15110" min="15110" style="42" width="17"/>
    <col collapsed="false" customWidth="true" hidden="false" outlineLevel="0" max="15111" min="15111" style="42" width="9.42"/>
    <col collapsed="false" customWidth="true" hidden="false" outlineLevel="0" max="15112" min="15112" style="42" width="11.43"/>
    <col collapsed="false" customWidth="true" hidden="false" outlineLevel="0" max="15113" min="15113" style="42" width="4.57"/>
    <col collapsed="false" customWidth="true" hidden="false" outlineLevel="0" max="15114" min="15114" style="42" width="17.15"/>
    <col collapsed="false" customWidth="true" hidden="false" outlineLevel="0" max="15115" min="15115" style="42" width="10"/>
    <col collapsed="false" customWidth="true" hidden="false" outlineLevel="0" max="15116" min="15116" style="42" width="11.43"/>
    <col collapsed="false" customWidth="true" hidden="false" outlineLevel="0" max="15117" min="15117" style="42" width="6.29"/>
    <col collapsed="false" customWidth="true" hidden="false" outlineLevel="0" max="15118" min="15118" style="42" width="24.29"/>
    <col collapsed="false" customWidth="true" hidden="false" outlineLevel="0" max="15119" min="15119" style="42" width="10"/>
    <col collapsed="false" customWidth="true" hidden="false" outlineLevel="0" max="15120" min="15120" style="42" width="11.43"/>
    <col collapsed="false" customWidth="true" hidden="false" outlineLevel="0" max="15121" min="15121" style="42" width="6.85"/>
    <col collapsed="false" customWidth="true" hidden="false" outlineLevel="0" max="15122" min="15122" style="42" width="16.29"/>
    <col collapsed="false" customWidth="false" hidden="false" outlineLevel="0" max="15359" min="15123" style="42" width="11.71"/>
    <col collapsed="false" customWidth="true" hidden="false" outlineLevel="0" max="15360" min="15360" style="42" width="12.71"/>
    <col collapsed="false" customWidth="true" hidden="false" outlineLevel="0" max="15361" min="15361" style="42" width="14.14"/>
    <col collapsed="false" customWidth="true" hidden="false" outlineLevel="0" max="15362" min="15362" style="42" width="22.57"/>
    <col collapsed="false" customWidth="true" hidden="false" outlineLevel="0" max="15363" min="15363" style="42" width="10"/>
    <col collapsed="false" customWidth="true" hidden="false" outlineLevel="0" max="15364" min="15364" style="42" width="12.86"/>
    <col collapsed="false" customWidth="true" hidden="false" outlineLevel="0" max="15365" min="15365" style="42" width="4"/>
    <col collapsed="false" customWidth="true" hidden="false" outlineLevel="0" max="15366" min="15366" style="42" width="17"/>
    <col collapsed="false" customWidth="true" hidden="false" outlineLevel="0" max="15367" min="15367" style="42" width="9.42"/>
    <col collapsed="false" customWidth="true" hidden="false" outlineLevel="0" max="15368" min="15368" style="42" width="11.43"/>
    <col collapsed="false" customWidth="true" hidden="false" outlineLevel="0" max="15369" min="15369" style="42" width="4.57"/>
    <col collapsed="false" customWidth="true" hidden="false" outlineLevel="0" max="15370" min="15370" style="42" width="17.15"/>
    <col collapsed="false" customWidth="true" hidden="false" outlineLevel="0" max="15371" min="15371" style="42" width="10"/>
    <col collapsed="false" customWidth="true" hidden="false" outlineLevel="0" max="15372" min="15372" style="42" width="11.43"/>
    <col collapsed="false" customWidth="true" hidden="false" outlineLevel="0" max="15373" min="15373" style="42" width="6.29"/>
    <col collapsed="false" customWidth="true" hidden="false" outlineLevel="0" max="15374" min="15374" style="42" width="24.29"/>
    <col collapsed="false" customWidth="true" hidden="false" outlineLevel="0" max="15375" min="15375" style="42" width="10"/>
    <col collapsed="false" customWidth="true" hidden="false" outlineLevel="0" max="15376" min="15376" style="42" width="11.43"/>
    <col collapsed="false" customWidth="true" hidden="false" outlineLevel="0" max="15377" min="15377" style="42" width="6.85"/>
    <col collapsed="false" customWidth="true" hidden="false" outlineLevel="0" max="15378" min="15378" style="42" width="16.29"/>
    <col collapsed="false" customWidth="false" hidden="false" outlineLevel="0" max="15615" min="15379" style="42" width="11.71"/>
    <col collapsed="false" customWidth="true" hidden="false" outlineLevel="0" max="15616" min="15616" style="42" width="12.71"/>
    <col collapsed="false" customWidth="true" hidden="false" outlineLevel="0" max="15617" min="15617" style="42" width="14.14"/>
    <col collapsed="false" customWidth="true" hidden="false" outlineLevel="0" max="15618" min="15618" style="42" width="22.57"/>
    <col collapsed="false" customWidth="true" hidden="false" outlineLevel="0" max="15619" min="15619" style="42" width="10"/>
    <col collapsed="false" customWidth="true" hidden="false" outlineLevel="0" max="15620" min="15620" style="42" width="12.86"/>
    <col collapsed="false" customWidth="true" hidden="false" outlineLevel="0" max="15621" min="15621" style="42" width="4"/>
    <col collapsed="false" customWidth="true" hidden="false" outlineLevel="0" max="15622" min="15622" style="42" width="17"/>
    <col collapsed="false" customWidth="true" hidden="false" outlineLevel="0" max="15623" min="15623" style="42" width="9.42"/>
    <col collapsed="false" customWidth="true" hidden="false" outlineLevel="0" max="15624" min="15624" style="42" width="11.43"/>
    <col collapsed="false" customWidth="true" hidden="false" outlineLevel="0" max="15625" min="15625" style="42" width="4.57"/>
    <col collapsed="false" customWidth="true" hidden="false" outlineLevel="0" max="15626" min="15626" style="42" width="17.15"/>
    <col collapsed="false" customWidth="true" hidden="false" outlineLevel="0" max="15627" min="15627" style="42" width="10"/>
    <col collapsed="false" customWidth="true" hidden="false" outlineLevel="0" max="15628" min="15628" style="42" width="11.43"/>
    <col collapsed="false" customWidth="true" hidden="false" outlineLevel="0" max="15629" min="15629" style="42" width="6.29"/>
    <col collapsed="false" customWidth="true" hidden="false" outlineLevel="0" max="15630" min="15630" style="42" width="24.29"/>
    <col collapsed="false" customWidth="true" hidden="false" outlineLevel="0" max="15631" min="15631" style="42" width="10"/>
    <col collapsed="false" customWidth="true" hidden="false" outlineLevel="0" max="15632" min="15632" style="42" width="11.43"/>
    <col collapsed="false" customWidth="true" hidden="false" outlineLevel="0" max="15633" min="15633" style="42" width="6.85"/>
    <col collapsed="false" customWidth="true" hidden="false" outlineLevel="0" max="15634" min="15634" style="42" width="16.29"/>
    <col collapsed="false" customWidth="false" hidden="false" outlineLevel="0" max="15871" min="15635" style="42" width="11.71"/>
    <col collapsed="false" customWidth="true" hidden="false" outlineLevel="0" max="15872" min="15872" style="42" width="12.71"/>
    <col collapsed="false" customWidth="true" hidden="false" outlineLevel="0" max="15873" min="15873" style="42" width="14.14"/>
    <col collapsed="false" customWidth="true" hidden="false" outlineLevel="0" max="15874" min="15874" style="42" width="22.57"/>
    <col collapsed="false" customWidth="true" hidden="false" outlineLevel="0" max="15875" min="15875" style="42" width="10"/>
    <col collapsed="false" customWidth="true" hidden="false" outlineLevel="0" max="15876" min="15876" style="42" width="12.86"/>
    <col collapsed="false" customWidth="true" hidden="false" outlineLevel="0" max="15877" min="15877" style="42" width="4"/>
    <col collapsed="false" customWidth="true" hidden="false" outlineLevel="0" max="15878" min="15878" style="42" width="17"/>
    <col collapsed="false" customWidth="true" hidden="false" outlineLevel="0" max="15879" min="15879" style="42" width="9.42"/>
    <col collapsed="false" customWidth="true" hidden="false" outlineLevel="0" max="15880" min="15880" style="42" width="11.43"/>
    <col collapsed="false" customWidth="true" hidden="false" outlineLevel="0" max="15881" min="15881" style="42" width="4.57"/>
    <col collapsed="false" customWidth="true" hidden="false" outlineLevel="0" max="15882" min="15882" style="42" width="17.15"/>
    <col collapsed="false" customWidth="true" hidden="false" outlineLevel="0" max="15883" min="15883" style="42" width="10"/>
    <col collapsed="false" customWidth="true" hidden="false" outlineLevel="0" max="15884" min="15884" style="42" width="11.43"/>
    <col collapsed="false" customWidth="true" hidden="false" outlineLevel="0" max="15885" min="15885" style="42" width="6.29"/>
    <col collapsed="false" customWidth="true" hidden="false" outlineLevel="0" max="15886" min="15886" style="42" width="24.29"/>
    <col collapsed="false" customWidth="true" hidden="false" outlineLevel="0" max="15887" min="15887" style="42" width="10"/>
    <col collapsed="false" customWidth="true" hidden="false" outlineLevel="0" max="15888" min="15888" style="42" width="11.43"/>
    <col collapsed="false" customWidth="true" hidden="false" outlineLevel="0" max="15889" min="15889" style="42" width="6.85"/>
    <col collapsed="false" customWidth="true" hidden="false" outlineLevel="0" max="15890" min="15890" style="42" width="16.29"/>
    <col collapsed="false" customWidth="false" hidden="false" outlineLevel="0" max="16127" min="15891" style="42" width="11.71"/>
    <col collapsed="false" customWidth="true" hidden="false" outlineLevel="0" max="16128" min="16128" style="42" width="12.71"/>
    <col collapsed="false" customWidth="true" hidden="false" outlineLevel="0" max="16129" min="16129" style="42" width="14.14"/>
    <col collapsed="false" customWidth="true" hidden="false" outlineLevel="0" max="16130" min="16130" style="42" width="22.57"/>
    <col collapsed="false" customWidth="true" hidden="false" outlineLevel="0" max="16131" min="16131" style="42" width="10"/>
    <col collapsed="false" customWidth="true" hidden="false" outlineLevel="0" max="16132" min="16132" style="42" width="12.86"/>
    <col collapsed="false" customWidth="true" hidden="false" outlineLevel="0" max="16133" min="16133" style="42" width="4"/>
    <col collapsed="false" customWidth="true" hidden="false" outlineLevel="0" max="16134" min="16134" style="42" width="17"/>
    <col collapsed="false" customWidth="true" hidden="false" outlineLevel="0" max="16135" min="16135" style="42" width="9.42"/>
    <col collapsed="false" customWidth="true" hidden="false" outlineLevel="0" max="16136" min="16136" style="42" width="11.43"/>
    <col collapsed="false" customWidth="true" hidden="false" outlineLevel="0" max="16137" min="16137" style="42" width="4.57"/>
    <col collapsed="false" customWidth="true" hidden="false" outlineLevel="0" max="16138" min="16138" style="42" width="17.15"/>
    <col collapsed="false" customWidth="true" hidden="false" outlineLevel="0" max="16139" min="16139" style="42" width="10"/>
    <col collapsed="false" customWidth="true" hidden="false" outlineLevel="0" max="16140" min="16140" style="42" width="11.43"/>
    <col collapsed="false" customWidth="true" hidden="false" outlineLevel="0" max="16141" min="16141" style="42" width="6.29"/>
    <col collapsed="false" customWidth="true" hidden="false" outlineLevel="0" max="16142" min="16142" style="42" width="24.29"/>
    <col collapsed="false" customWidth="true" hidden="false" outlineLevel="0" max="16143" min="16143" style="42" width="10"/>
    <col collapsed="false" customWidth="true" hidden="false" outlineLevel="0" max="16144" min="16144" style="42" width="11.43"/>
    <col collapsed="false" customWidth="true" hidden="false" outlineLevel="0" max="16145" min="16145" style="42" width="6.85"/>
    <col collapsed="false" customWidth="true" hidden="false" outlineLevel="0" max="16146" min="16146" style="42" width="16.29"/>
    <col collapsed="false" customWidth="false" hidden="false" outlineLevel="0" max="16384" min="16147" style="42" width="11.71"/>
  </cols>
  <sheetData>
    <row r="1" s="44" customFormat="true" ht="7.5" hidden="false" customHeight="true" outlineLevel="0" collapsed="false">
      <c r="A1" s="43"/>
      <c r="B1" s="167"/>
      <c r="C1" s="113"/>
      <c r="D1" s="167"/>
      <c r="E1" s="113"/>
      <c r="F1" s="167"/>
      <c r="G1" s="113"/>
      <c r="H1" s="167"/>
      <c r="I1" s="113"/>
      <c r="J1" s="167"/>
      <c r="K1" s="113"/>
      <c r="L1" s="167"/>
      <c r="M1" s="43"/>
      <c r="N1" s="167"/>
      <c r="O1" s="113"/>
      <c r="P1" s="167"/>
      <c r="Q1" s="43"/>
      <c r="R1" s="167"/>
      <c r="S1" s="113"/>
      <c r="T1" s="167"/>
      <c r="U1" s="43"/>
      <c r="V1" s="43"/>
      <c r="IO1" s="166"/>
      <c r="IP1" s="166"/>
      <c r="IQ1" s="166"/>
      <c r="IR1" s="166"/>
    </row>
    <row r="2" customFormat="false" ht="20.85" hidden="false" customHeight="false" outlineLevel="0" collapsed="false">
      <c r="A2" s="12"/>
      <c r="B2" s="168" t="s">
        <v>263</v>
      </c>
      <c r="F2" s="168" t="s">
        <v>264</v>
      </c>
      <c r="J2" s="168" t="s">
        <v>265</v>
      </c>
      <c r="N2" s="168" t="s">
        <v>266</v>
      </c>
      <c r="R2" s="168" t="s">
        <v>267</v>
      </c>
    </row>
    <row r="3" customFormat="false" ht="15" hidden="false" customHeight="false" outlineLevel="0" collapsed="false">
      <c r="A3" s="12"/>
      <c r="B3" s="169" t="s">
        <v>268</v>
      </c>
      <c r="C3" s="170" t="s">
        <v>269</v>
      </c>
      <c r="D3" s="169" t="s">
        <v>270</v>
      </c>
      <c r="F3" s="169" t="s">
        <v>268</v>
      </c>
      <c r="G3" s="170" t="s">
        <v>269</v>
      </c>
      <c r="H3" s="169" t="s">
        <v>270</v>
      </c>
      <c r="J3" s="169" t="s">
        <v>268</v>
      </c>
      <c r="K3" s="170" t="s">
        <v>269</v>
      </c>
      <c r="L3" s="169" t="s">
        <v>270</v>
      </c>
      <c r="N3" s="169" t="s">
        <v>268</v>
      </c>
      <c r="O3" s="170" t="s">
        <v>269</v>
      </c>
      <c r="P3" s="169" t="s">
        <v>270</v>
      </c>
      <c r="R3" s="169" t="s">
        <v>268</v>
      </c>
      <c r="S3" s="170" t="s">
        <v>269</v>
      </c>
      <c r="T3" s="169" t="s">
        <v>270</v>
      </c>
    </row>
    <row r="4" customFormat="false" ht="6.75" hidden="false" customHeight="true" outlineLevel="0" collapsed="false">
      <c r="A4" s="12"/>
      <c r="B4" s="171"/>
      <c r="C4" s="172"/>
      <c r="D4" s="173"/>
      <c r="F4" s="171"/>
      <c r="G4" s="172"/>
      <c r="H4" s="173"/>
      <c r="J4" s="171"/>
      <c r="K4" s="172"/>
      <c r="L4" s="173"/>
      <c r="N4" s="171"/>
      <c r="O4" s="172"/>
      <c r="P4" s="173"/>
      <c r="R4" s="171"/>
      <c r="S4" s="172"/>
      <c r="T4" s="173"/>
    </row>
    <row r="5" customFormat="false" ht="15" hidden="false" customHeight="false" outlineLevel="0" collapsed="false">
      <c r="A5" s="12"/>
      <c r="B5" s="174" t="str">
        <f aca="false">'Datasize-Parameters'!$C$4</f>
        <v>Account</v>
      </c>
      <c r="C5" s="175" t="n">
        <f aca="false">'Customer Volumes'!D5</f>
        <v>25786541</v>
      </c>
      <c r="D5" s="176" t="n">
        <f aca="false">C5*'Datasize-Parameters'!$J$13/(1024*1024)</f>
        <v>467.247275352478</v>
      </c>
      <c r="F5" s="174" t="str">
        <f aca="false">'Datasize-Parameters'!$C$4</f>
        <v>Account</v>
      </c>
      <c r="G5" s="175" t="n">
        <f aca="false">'Customer Volumes'!E5</f>
        <v>28365195.1</v>
      </c>
      <c r="H5" s="176" t="n">
        <f aca="false">G5*'Datasize-Parameters'!$J$13/(1024*1024)</f>
        <v>513.972002887726</v>
      </c>
      <c r="J5" s="174" t="str">
        <f aca="false">'Datasize-Parameters'!$C$4</f>
        <v>Account</v>
      </c>
      <c r="K5" s="175" t="n">
        <f aca="false">'Customer Volumes'!F5</f>
        <v>31201714.61</v>
      </c>
      <c r="L5" s="176" t="n">
        <f aca="false">K5*'Datasize-Parameters'!$J$13/(1024*1024)</f>
        <v>565.369203176498</v>
      </c>
      <c r="N5" s="174" t="str">
        <f aca="false">'Datasize-Parameters'!$C$4</f>
        <v>Account</v>
      </c>
      <c r="O5" s="175" t="n">
        <f aca="false">'Customer Volumes'!G5</f>
        <v>34321886.071</v>
      </c>
      <c r="P5" s="176" t="n">
        <f aca="false">O5*'Datasize-Parameters'!$J$13/(1024*1024)</f>
        <v>621.906123494149</v>
      </c>
      <c r="R5" s="174" t="str">
        <f aca="false">'Datasize-Parameters'!$C$4</f>
        <v>Account</v>
      </c>
      <c r="S5" s="175" t="n">
        <f aca="false">'Customer Volumes'!H5</f>
        <v>37754074.6781</v>
      </c>
      <c r="T5" s="176" t="n">
        <f aca="false">S5*'Datasize-Parameters'!$J$13/(1024*1024)</f>
        <v>684.096735843563</v>
      </c>
    </row>
    <row r="6" customFormat="false" ht="15" hidden="false" customHeight="false" outlineLevel="0" collapsed="false">
      <c r="A6" s="12"/>
      <c r="B6" s="174" t="str">
        <f aca="false">'Datasize-Parameters'!$C$5</f>
        <v>Lead</v>
      </c>
      <c r="C6" s="175" t="n">
        <f aca="false">'Customer Volumes'!D7</f>
        <v>10700000</v>
      </c>
      <c r="D6" s="176" t="n">
        <f aca="false">C6*'Datasize-Parameters'!$N$13/(1024*1024)</f>
        <v>408.172607421875</v>
      </c>
      <c r="F6" s="174" t="str">
        <f aca="false">'Datasize-Parameters'!$C$5</f>
        <v>Lead</v>
      </c>
      <c r="G6" s="175" t="n">
        <f aca="false">'Customer Volumes'!E7</f>
        <v>11770000</v>
      </c>
      <c r="H6" s="176" t="n">
        <f aca="false">G6*'Datasize-Parameters'!$N$13/(1024*1024)</f>
        <v>448.989868164063</v>
      </c>
      <c r="J6" s="174" t="str">
        <f aca="false">'Datasize-Parameters'!$C$5</f>
        <v>Lead</v>
      </c>
      <c r="K6" s="175" t="n">
        <f aca="false">'Customer Volumes'!F7</f>
        <v>12947000</v>
      </c>
      <c r="L6" s="176" t="n">
        <f aca="false">K6*'Datasize-Parameters'!$N$13/(1024*1024)</f>
        <v>493.888854980469</v>
      </c>
      <c r="N6" s="174" t="str">
        <f aca="false">'Datasize-Parameters'!$C$5</f>
        <v>Lead</v>
      </c>
      <c r="O6" s="175" t="n">
        <f aca="false">'Customer Volumes'!G7</f>
        <v>14241700</v>
      </c>
      <c r="P6" s="176" t="n">
        <f aca="false">O6*'Datasize-Parameters'!$N$13/(1024*1024)</f>
        <v>543.277740478516</v>
      </c>
      <c r="R6" s="174" t="str">
        <f aca="false">'Datasize-Parameters'!$C$5</f>
        <v>Lead</v>
      </c>
      <c r="S6" s="175" t="n">
        <f aca="false">'Customer Volumes'!H7</f>
        <v>15665870</v>
      </c>
      <c r="T6" s="176" t="n">
        <f aca="false">S6*'Datasize-Parameters'!$N$13/(1024*1024)</f>
        <v>597.605514526367</v>
      </c>
    </row>
    <row r="7" customFormat="false" ht="15" hidden="false" customHeight="false" outlineLevel="0" collapsed="false">
      <c r="A7" s="12"/>
      <c r="B7" s="174" t="str">
        <f aca="false">'Datasize-Parameters'!$C$6</f>
        <v>Service Request (Case)</v>
      </c>
      <c r="C7" s="175" t="n">
        <f aca="false">'Customer Volumes'!D9</f>
        <v>20000</v>
      </c>
      <c r="D7" s="176" t="n">
        <f aca="false">C7*'Datasize-Parameters'!$R$13/(1024*1024)</f>
        <v>0.715255737304688</v>
      </c>
      <c r="F7" s="174" t="str">
        <f aca="false">'Datasize-Parameters'!$C$6</f>
        <v>Service Request (Case)</v>
      </c>
      <c r="G7" s="175" t="n">
        <f aca="false">'Customer Volumes'!E9</f>
        <v>21000</v>
      </c>
      <c r="H7" s="176" t="n">
        <f aca="false">G7*'Datasize-Parameters'!$R$13/(1024*1024)</f>
        <v>0.751018524169922</v>
      </c>
      <c r="J7" s="174" t="str">
        <f aca="false">'Datasize-Parameters'!$C$6</f>
        <v>Service Request (Case)</v>
      </c>
      <c r="K7" s="175" t="n">
        <f aca="false">'Customer Volumes'!F9</f>
        <v>22050</v>
      </c>
      <c r="L7" s="176" t="n">
        <f aca="false">K7*'Datasize-Parameters'!$R$13/(1024*1024)</f>
        <v>0.788569450378418</v>
      </c>
      <c r="N7" s="174" t="str">
        <f aca="false">'Datasize-Parameters'!$C$6</f>
        <v>Service Request (Case)</v>
      </c>
      <c r="O7" s="175" t="n">
        <f aca="false">'Customer Volumes'!G9</f>
        <v>23152.5</v>
      </c>
      <c r="P7" s="176" t="n">
        <f aca="false">O7*'Datasize-Parameters'!$R$13/(1024*1024)</f>
        <v>0.827997922897339</v>
      </c>
      <c r="R7" s="174" t="str">
        <f aca="false">'Datasize-Parameters'!$C$6</f>
        <v>Service Request (Case)</v>
      </c>
      <c r="S7" s="175" t="n">
        <f aca="false">'Customer Volumes'!H9</f>
        <v>24310.125</v>
      </c>
      <c r="T7" s="176" t="n">
        <f aca="false">S7*'Datasize-Parameters'!$R$13/(1024*1024)</f>
        <v>0.869397819042206</v>
      </c>
    </row>
    <row r="8" customFormat="false" ht="15" hidden="false" customHeight="false" outlineLevel="0" collapsed="false">
      <c r="A8" s="12"/>
      <c r="B8" s="174" t="str">
        <f aca="false">'Datasize-Parameters'!$C$7</f>
        <v>Campaign</v>
      </c>
      <c r="C8" s="175" t="n">
        <f aca="false">'Customer Volumes'!D11</f>
        <v>50</v>
      </c>
      <c r="D8" s="176" t="n">
        <f aca="false">C8*'Datasize-Parameters'!$J$26/(1024*1024)</f>
        <v>0.00057220458984375</v>
      </c>
      <c r="F8" s="174" t="str">
        <f aca="false">'Datasize-Parameters'!$C$7</f>
        <v>Campaign</v>
      </c>
      <c r="G8" s="175" t="n">
        <f aca="false">'Customer Volumes'!E11</f>
        <v>50</v>
      </c>
      <c r="H8" s="176" t="n">
        <f aca="false">G8*'Datasize-Parameters'!$J$26/(1024*1024)</f>
        <v>0.00057220458984375</v>
      </c>
      <c r="J8" s="174" t="str">
        <f aca="false">'Datasize-Parameters'!$C$7</f>
        <v>Campaign</v>
      </c>
      <c r="K8" s="175" t="n">
        <f aca="false">'Customer Volumes'!F11</f>
        <v>50</v>
      </c>
      <c r="L8" s="176" t="n">
        <f aca="false">K8*'Datasize-Parameters'!$J$26/(1024*1024)</f>
        <v>0.00057220458984375</v>
      </c>
      <c r="N8" s="174" t="str">
        <f aca="false">'Datasize-Parameters'!$C$7</f>
        <v>Campaign</v>
      </c>
      <c r="O8" s="175" t="n">
        <f aca="false">'Customer Volumes'!G11</f>
        <v>50</v>
      </c>
      <c r="P8" s="176" t="n">
        <f aca="false">O8*'Datasize-Parameters'!$J$26/(1024*1024)</f>
        <v>0.00057220458984375</v>
      </c>
      <c r="R8" s="174" t="str">
        <f aca="false">'Datasize-Parameters'!$C$7</f>
        <v>Campaign</v>
      </c>
      <c r="S8" s="175" t="n">
        <v>0</v>
      </c>
      <c r="T8" s="176" t="n">
        <f aca="false">S8*'Datasize-Parameters'!$J$26/(1024*1024)</f>
        <v>0</v>
      </c>
    </row>
    <row r="9" customFormat="false" ht="15" hidden="false" customHeight="false" outlineLevel="0" collapsed="false">
      <c r="A9" s="12"/>
      <c r="B9" s="174" t="str">
        <f aca="false">'Datasize-Parameters'!$C$8</f>
        <v>Offer</v>
      </c>
      <c r="C9" s="175" t="n">
        <v>0</v>
      </c>
      <c r="D9" s="176" t="n">
        <f aca="false">C9*'Datasize-Parameters'!$N$26/(1024*1024)</f>
        <v>0</v>
      </c>
      <c r="F9" s="174" t="str">
        <f aca="false">'Datasize-Parameters'!$C$8</f>
        <v>Offer</v>
      </c>
      <c r="G9" s="175" t="n">
        <v>0</v>
      </c>
      <c r="H9" s="176" t="n">
        <f aca="false">G9*'Datasize-Parameters'!$N$26/(1024*1024)</f>
        <v>0</v>
      </c>
      <c r="J9" s="174" t="str">
        <f aca="false">'Datasize-Parameters'!$C$8</f>
        <v>Offer</v>
      </c>
      <c r="K9" s="175" t="n">
        <v>0</v>
      </c>
      <c r="L9" s="176" t="n">
        <f aca="false">K9*'Datasize-Parameters'!$N$26/(1024*1024)</f>
        <v>0</v>
      </c>
      <c r="N9" s="174" t="str">
        <f aca="false">'Datasize-Parameters'!$C$8</f>
        <v>Offer</v>
      </c>
      <c r="O9" s="175" t="n">
        <v>0</v>
      </c>
      <c r="P9" s="176" t="n">
        <f aca="false">O9*'Datasize-Parameters'!$N$26/(1024*1024)</f>
        <v>0</v>
      </c>
      <c r="R9" s="174" t="str">
        <f aca="false">'Datasize-Parameters'!$C$8</f>
        <v>Offer</v>
      </c>
      <c r="S9" s="175" t="n">
        <v>0</v>
      </c>
      <c r="T9" s="176" t="n">
        <f aca="false">S9*'Datasize-Parameters'!$N$26/(1024*1024)</f>
        <v>0</v>
      </c>
    </row>
    <row r="10" customFormat="false" ht="15" hidden="false" customHeight="false" outlineLevel="0" collapsed="false">
      <c r="A10" s="12"/>
      <c r="B10" s="174" t="str">
        <f aca="false">'Datasize-Parameters'!$C$9</f>
        <v>Credit</v>
      </c>
      <c r="C10" s="175" t="n">
        <v>0</v>
      </c>
      <c r="D10" s="176" t="n">
        <f aca="false">C10*'Datasize-Parameters'!$R$26/(1024*1024)</f>
        <v>0</v>
      </c>
      <c r="F10" s="174" t="str">
        <f aca="false">'Datasize-Parameters'!$C$9</f>
        <v>Credit</v>
      </c>
      <c r="G10" s="175" t="n">
        <v>0</v>
      </c>
      <c r="H10" s="176" t="n">
        <f aca="false">G10*'Datasize-Parameters'!$R$26/(1024*1024)</f>
        <v>0</v>
      </c>
      <c r="J10" s="174" t="str">
        <f aca="false">'Datasize-Parameters'!$C$9</f>
        <v>Credit</v>
      </c>
      <c r="K10" s="175" t="n">
        <v>0</v>
      </c>
      <c r="L10" s="176" t="n">
        <f aca="false">K10*'Datasize-Parameters'!$R$26/(1024*1024)</f>
        <v>0</v>
      </c>
      <c r="N10" s="174" t="str">
        <f aca="false">'Datasize-Parameters'!$C$9</f>
        <v>Credit</v>
      </c>
      <c r="O10" s="175" t="n">
        <v>0</v>
      </c>
      <c r="P10" s="176" t="n">
        <f aca="false">O10*'Datasize-Parameters'!$R$26/(1024*1024)</f>
        <v>0</v>
      </c>
      <c r="R10" s="174" t="str">
        <f aca="false">'Datasize-Parameters'!$C$9</f>
        <v>Credit</v>
      </c>
      <c r="S10" s="175" t="n">
        <v>0</v>
      </c>
      <c r="T10" s="176" t="n">
        <f aca="false">S10*'Datasize-Parameters'!$R$26/(1024*1024)</f>
        <v>0</v>
      </c>
    </row>
    <row r="11" customFormat="false" ht="15" hidden="false" customHeight="false" outlineLevel="0" collapsed="false">
      <c r="A11" s="12"/>
      <c r="B11" s="174" t="str">
        <f aca="false">'Datasize-Parameters'!$C$10</f>
        <v>Holding</v>
      </c>
      <c r="C11" s="175" t="n">
        <f aca="false">'Customer Volumes'!D5*'Customer Volumes'!D12</f>
        <v>25786541</v>
      </c>
      <c r="D11" s="176" t="n">
        <f aca="false">C11*'Datasize-Parameters'!$J$39/(1024*1024)</f>
        <v>196.735694885254</v>
      </c>
      <c r="F11" s="174" t="str">
        <f aca="false">'Datasize-Parameters'!$C$10</f>
        <v>Holding</v>
      </c>
      <c r="G11" s="175" t="n">
        <f aca="false">'Customer Volumes'!E5*'Customer Volumes'!E12</f>
        <v>28365195.1</v>
      </c>
      <c r="H11" s="176" t="n">
        <f aca="false">G11*'Datasize-Parameters'!$J$39/(1024*1024)</f>
        <v>216.409264373779</v>
      </c>
      <c r="J11" s="174" t="str">
        <f aca="false">'Datasize-Parameters'!$C$10</f>
        <v>Holding</v>
      </c>
      <c r="K11" s="175" t="n">
        <f aca="false">'Customer Volumes'!F5*'Customer Volumes'!F12</f>
        <v>31201714.61</v>
      </c>
      <c r="L11" s="176" t="n">
        <f aca="false">K11*'Datasize-Parameters'!$J$39/(1024*1024)</f>
        <v>238.050190811157</v>
      </c>
      <c r="N11" s="174" t="str">
        <f aca="false">'Datasize-Parameters'!$C$10</f>
        <v>Holding</v>
      </c>
      <c r="O11" s="175" t="n">
        <f aca="false">'Customer Volumes'!G5*'Customer Volumes'!G12</f>
        <v>34321886.071</v>
      </c>
      <c r="P11" s="176" t="n">
        <f aca="false">O11*'Datasize-Parameters'!$J$39/(1024*1024)</f>
        <v>261.855209892273</v>
      </c>
      <c r="R11" s="174" t="str">
        <f aca="false">'Datasize-Parameters'!$C$10</f>
        <v>Holding</v>
      </c>
      <c r="S11" s="175" t="n">
        <f aca="false">'Customer Volumes'!H5*'Customer Volumes'!H12</f>
        <v>37754074.6781</v>
      </c>
      <c r="T11" s="176" t="n">
        <f aca="false">S11*'Datasize-Parameters'!$J$39/(1024*1024)</f>
        <v>288.0407308815</v>
      </c>
    </row>
    <row r="12" customFormat="false" ht="15" hidden="false" customHeight="false" outlineLevel="0" collapsed="false">
      <c r="A12" s="12"/>
      <c r="B12" s="174" t="str">
        <f aca="false">'Datasize-Parameters'!$C$13</f>
        <v>Facility</v>
      </c>
      <c r="C12" s="175" t="n">
        <v>0</v>
      </c>
      <c r="D12" s="176" t="n">
        <f aca="false">C12*'Datasize-Parameters'!$N$39/(1024*1024)</f>
        <v>0</v>
      </c>
      <c r="F12" s="174" t="str">
        <f aca="false">'Datasize-Parameters'!$C$13</f>
        <v>Facility</v>
      </c>
      <c r="G12" s="175" t="n">
        <v>0</v>
      </c>
      <c r="H12" s="176" t="n">
        <f aca="false">G12*'Datasize-Parameters'!$N$39/(1024*1024)</f>
        <v>0</v>
      </c>
      <c r="J12" s="174" t="str">
        <f aca="false">'Datasize-Parameters'!$C$13</f>
        <v>Facility</v>
      </c>
      <c r="K12" s="175" t="n">
        <v>0</v>
      </c>
      <c r="L12" s="176" t="n">
        <f aca="false">K12*'Datasize-Parameters'!$N$39/(1024*1024)</f>
        <v>0</v>
      </c>
      <c r="N12" s="174" t="str">
        <f aca="false">'Datasize-Parameters'!$C$13</f>
        <v>Facility</v>
      </c>
      <c r="O12" s="175" t="n">
        <v>0</v>
      </c>
      <c r="P12" s="176" t="n">
        <f aca="false">O12*'Datasize-Parameters'!$N$39/(1024*1024)</f>
        <v>0</v>
      </c>
      <c r="R12" s="174" t="str">
        <f aca="false">'Datasize-Parameters'!$C$13</f>
        <v>Facility</v>
      </c>
      <c r="S12" s="175" t="n">
        <v>0</v>
      </c>
      <c r="T12" s="176" t="n">
        <f aca="false">S12*'Datasize-Parameters'!$N$39/(1024*1024)</f>
        <v>0</v>
      </c>
    </row>
    <row r="13" customFormat="false" ht="15" hidden="false" customHeight="false" outlineLevel="0" collapsed="false">
      <c r="B13" s="174" t="s">
        <v>247</v>
      </c>
      <c r="C13" s="175" t="n">
        <v>0</v>
      </c>
      <c r="D13" s="176" t="n">
        <f aca="false">C13*'Datasize-Parameters'!$D$22/(1024*1024)</f>
        <v>0</v>
      </c>
      <c r="F13" s="174" t="s">
        <v>247</v>
      </c>
      <c r="G13" s="175" t="n">
        <v>0</v>
      </c>
      <c r="H13" s="176" t="n">
        <f aca="false">G13*'Datasize-Parameters'!$D$22/(1024*1024)</f>
        <v>0</v>
      </c>
      <c r="J13" s="174" t="s">
        <v>247</v>
      </c>
      <c r="K13" s="175" t="n">
        <v>0</v>
      </c>
      <c r="L13" s="176" t="n">
        <f aca="false">K13*'Datasize-Parameters'!$D$22/(1024*1024)</f>
        <v>0</v>
      </c>
      <c r="N13" s="174" t="s">
        <v>247</v>
      </c>
      <c r="O13" s="175" t="n">
        <v>0</v>
      </c>
      <c r="P13" s="176" t="n">
        <f aca="false">O13*'Datasize-Parameters'!$D$22/(1024*1024)</f>
        <v>0</v>
      </c>
      <c r="R13" s="174" t="s">
        <v>247</v>
      </c>
      <c r="S13" s="175" t="n">
        <v>0</v>
      </c>
      <c r="T13" s="176" t="n">
        <f aca="false">S13*'Datasize-Parameters'!$D$22/(1024*1024)</f>
        <v>0</v>
      </c>
    </row>
    <row r="14" customFormat="false" ht="15" hidden="false" customHeight="false" outlineLevel="0" collapsed="false">
      <c r="B14" s="174" t="s">
        <v>248</v>
      </c>
      <c r="C14" s="175" t="n">
        <v>0</v>
      </c>
      <c r="D14" s="176" t="n">
        <f aca="false">C14*'Datasize-Parameters'!$D$23/(1024*1024)</f>
        <v>0</v>
      </c>
      <c r="F14" s="174" t="s">
        <v>248</v>
      </c>
      <c r="G14" s="175" t="n">
        <v>0</v>
      </c>
      <c r="H14" s="176" t="n">
        <f aca="false">G14*'Datasize-Parameters'!$D$23/(1024*1024)</f>
        <v>0</v>
      </c>
      <c r="J14" s="174" t="s">
        <v>248</v>
      </c>
      <c r="K14" s="175" t="n">
        <v>0</v>
      </c>
      <c r="L14" s="176" t="n">
        <f aca="false">K14*'Datasize-Parameters'!$D$23/(1024*1024)</f>
        <v>0</v>
      </c>
      <c r="N14" s="174" t="s">
        <v>248</v>
      </c>
      <c r="O14" s="175" t="n">
        <v>0</v>
      </c>
      <c r="P14" s="176" t="n">
        <f aca="false">O14*'Datasize-Parameters'!$D$23/(1024*1024)</f>
        <v>0</v>
      </c>
      <c r="R14" s="174" t="s">
        <v>248</v>
      </c>
      <c r="S14" s="175" t="n">
        <v>0</v>
      </c>
      <c r="T14" s="176" t="n">
        <f aca="false">S14*'Datasize-Parameters'!$D$23/(1024*1024)</f>
        <v>0</v>
      </c>
    </row>
    <row r="15" customFormat="false" ht="15" hidden="false" customHeight="false" outlineLevel="0" collapsed="false">
      <c r="A15" s="12"/>
      <c r="B15" s="174" t="s">
        <v>271</v>
      </c>
      <c r="C15" s="175" t="n">
        <f aca="false">C5*0.3+C6*0.3+C7</f>
        <v>10965962.3</v>
      </c>
      <c r="D15" s="176" t="n">
        <f aca="false">C15*'Datasize-Parameters'!$V$13/(1024*1024)</f>
        <v>5.22897830009461</v>
      </c>
      <c r="F15" s="174" t="s">
        <v>271</v>
      </c>
      <c r="G15" s="175" t="n">
        <f aca="false">G5*0.3+G6*0.3+G7</f>
        <v>12061558.53</v>
      </c>
      <c r="H15" s="176" t="n">
        <f aca="false">G15*'Datasize-Parameters'!$V$13/(1024*1024)</f>
        <v>5.75139929294586</v>
      </c>
      <c r="J15" s="174" t="s">
        <v>271</v>
      </c>
      <c r="K15" s="175" t="n">
        <f aca="false">K5*0.3+K6*0.3+K7</f>
        <v>13266664.383</v>
      </c>
      <c r="L15" s="176" t="n">
        <f aca="false">K15*'Datasize-Parameters'!$V$13/(1024*1024)</f>
        <v>6.32603854322434</v>
      </c>
      <c r="N15" s="174" t="s">
        <v>271</v>
      </c>
      <c r="O15" s="175" t="n">
        <f aca="false">O5*0.3+O6*0.3+O7</f>
        <v>14592228.3213</v>
      </c>
      <c r="P15" s="176" t="n">
        <f aca="false">O15*'Datasize-Parameters'!$V$13/(1024*1024)</f>
        <v>6.95811668457985</v>
      </c>
      <c r="R15" s="174" t="s">
        <v>271</v>
      </c>
      <c r="S15" s="175" t="n">
        <f aca="false">S5*0.3+S6*0.3+S7</f>
        <v>16050293.52843</v>
      </c>
      <c r="T15" s="176" t="n">
        <f aca="false">S15*'Datasize-Parameters'!$V$13/(1024*1024)</f>
        <v>7.65337635442257</v>
      </c>
    </row>
    <row r="16" customFormat="false" ht="15" hidden="false" customHeight="false" outlineLevel="0" collapsed="false">
      <c r="A16" s="12"/>
      <c r="B16" s="177"/>
      <c r="C16" s="178"/>
      <c r="D16" s="179"/>
      <c r="F16" s="177"/>
      <c r="G16" s="178"/>
      <c r="H16" s="179"/>
      <c r="J16" s="177"/>
      <c r="K16" s="178"/>
      <c r="L16" s="179"/>
      <c r="N16" s="177"/>
      <c r="O16" s="178"/>
      <c r="P16" s="179"/>
      <c r="R16" s="177"/>
      <c r="S16" s="178"/>
      <c r="T16" s="179"/>
    </row>
    <row r="17" customFormat="false" ht="19.7" hidden="false" customHeight="false" outlineLevel="0" collapsed="false">
      <c r="A17" s="12"/>
      <c r="B17" s="180" t="s">
        <v>272</v>
      </c>
      <c r="C17" s="180"/>
      <c r="D17" s="179" t="n">
        <f aca="false">SUM(D5:D15)</f>
        <v>1078.1003839016</v>
      </c>
      <c r="F17" s="180" t="s">
        <v>272</v>
      </c>
      <c r="G17" s="180"/>
      <c r="H17" s="179" t="n">
        <f aca="false">SUM(H5:H15)</f>
        <v>1185.87412544727</v>
      </c>
      <c r="J17" s="180" t="s">
        <v>272</v>
      </c>
      <c r="K17" s="180"/>
      <c r="L17" s="179" t="n">
        <f aca="false">SUM(L5:L15)</f>
        <v>1304.42342916632</v>
      </c>
      <c r="N17" s="180" t="s">
        <v>272</v>
      </c>
      <c r="O17" s="180"/>
      <c r="P17" s="179" t="n">
        <f aca="false">SUM(P5:P15)</f>
        <v>1434.825760677</v>
      </c>
      <c r="Q17" s="181"/>
      <c r="R17" s="180" t="s">
        <v>272</v>
      </c>
      <c r="S17" s="180"/>
      <c r="T17" s="179" t="n">
        <f aca="false">SUM(T5:T15)</f>
        <v>1578.2657554249</v>
      </c>
    </row>
    <row r="18" customFormat="false" ht="23.85" hidden="false" customHeight="false" outlineLevel="0" collapsed="false">
      <c r="A18" s="12"/>
      <c r="B18" s="182"/>
      <c r="C18" s="183"/>
      <c r="D18" s="184" t="s">
        <v>273</v>
      </c>
      <c r="F18" s="182"/>
      <c r="G18" s="183"/>
      <c r="H18" s="184" t="s">
        <v>273</v>
      </c>
      <c r="J18" s="182"/>
      <c r="K18" s="183"/>
      <c r="L18" s="184" t="s">
        <v>273</v>
      </c>
      <c r="N18" s="182"/>
      <c r="O18" s="183"/>
      <c r="P18" s="184" t="s">
        <v>273</v>
      </c>
      <c r="R18" s="182"/>
      <c r="S18" s="183"/>
      <c r="T18" s="184" t="s">
        <v>273</v>
      </c>
    </row>
    <row r="19" customFormat="false" ht="19.7" hidden="false" customHeight="false" outlineLevel="0" collapsed="false">
      <c r="A19" s="12"/>
      <c r="E19" s="181"/>
      <c r="I19" s="181"/>
      <c r="M19" s="181"/>
    </row>
    <row r="20" customFormat="false" ht="19.7" hidden="false" customHeight="false" outlineLevel="0" collapsed="false">
      <c r="A20" s="12"/>
      <c r="B20" s="185" t="s">
        <v>274</v>
      </c>
      <c r="C20" s="186"/>
      <c r="D20" s="186"/>
      <c r="F20" s="185" t="s">
        <v>274</v>
      </c>
      <c r="G20" s="186"/>
      <c r="H20" s="186"/>
      <c r="J20" s="185" t="s">
        <v>274</v>
      </c>
      <c r="K20" s="186"/>
      <c r="L20" s="186"/>
      <c r="N20" s="185" t="s">
        <v>274</v>
      </c>
      <c r="O20" s="186"/>
      <c r="P20" s="186"/>
      <c r="R20" s="185" t="s">
        <v>274</v>
      </c>
      <c r="S20" s="186"/>
      <c r="T20" s="186"/>
    </row>
    <row r="21" customFormat="false" ht="15" hidden="false" customHeight="false" outlineLevel="0" collapsed="false">
      <c r="A21" s="12"/>
      <c r="B21" s="184"/>
      <c r="C21" s="187"/>
      <c r="D21" s="184"/>
      <c r="F21" s="184"/>
      <c r="G21" s="187"/>
      <c r="H21" s="184"/>
      <c r="J21" s="184"/>
      <c r="K21" s="187"/>
      <c r="L21" s="184"/>
      <c r="N21" s="184"/>
      <c r="O21" s="187"/>
      <c r="P21" s="184"/>
      <c r="R21" s="184"/>
      <c r="S21" s="187"/>
      <c r="T21" s="184"/>
    </row>
    <row r="22" customFormat="false" ht="15" hidden="false" customHeight="false" outlineLevel="0" collapsed="false">
      <c r="A22" s="12"/>
      <c r="B22" s="184" t="s">
        <v>268</v>
      </c>
      <c r="C22" s="187"/>
      <c r="D22" s="188" t="n">
        <f aca="false">D17</f>
        <v>1078.1003839016</v>
      </c>
      <c r="F22" s="184" t="s">
        <v>268</v>
      </c>
      <c r="G22" s="187"/>
      <c r="H22" s="188" t="n">
        <f aca="false">H17</f>
        <v>1185.87412544727</v>
      </c>
      <c r="J22" s="184" t="s">
        <v>268</v>
      </c>
      <c r="K22" s="187"/>
      <c r="L22" s="188" t="n">
        <f aca="false">L17</f>
        <v>1304.42342916632</v>
      </c>
      <c r="N22" s="184" t="s">
        <v>268</v>
      </c>
      <c r="O22" s="187"/>
      <c r="P22" s="188" t="n">
        <f aca="false">P17</f>
        <v>1434.825760677</v>
      </c>
      <c r="R22" s="184" t="s">
        <v>268</v>
      </c>
      <c r="S22" s="187"/>
      <c r="T22" s="188" t="n">
        <f aca="false">T17</f>
        <v>1578.2657554249</v>
      </c>
    </row>
    <row r="23" customFormat="false" ht="15" hidden="false" customHeight="false" outlineLevel="0" collapsed="false">
      <c r="A23" s="12"/>
      <c r="B23" s="184" t="s">
        <v>253</v>
      </c>
      <c r="C23" s="187"/>
      <c r="D23" s="188" t="n">
        <f aca="false">D22*'Datasize-Parameters'!$C$29</f>
        <v>161.715057585239</v>
      </c>
      <c r="F23" s="184" t="s">
        <v>253</v>
      </c>
      <c r="G23" s="187"/>
      <c r="H23" s="188" t="n">
        <f aca="false">H22*'Datasize-Parameters'!$C$29</f>
        <v>177.881118817091</v>
      </c>
      <c r="J23" s="184" t="s">
        <v>253</v>
      </c>
      <c r="K23" s="187"/>
      <c r="L23" s="188" t="n">
        <f aca="false">L22*'Datasize-Parameters'!$C$29</f>
        <v>195.663514374948</v>
      </c>
      <c r="N23" s="184" t="s">
        <v>253</v>
      </c>
      <c r="O23" s="187"/>
      <c r="P23" s="188" t="n">
        <f aca="false">P22*'Datasize-Parameters'!$C$29</f>
        <v>215.223864101551</v>
      </c>
      <c r="R23" s="184" t="s">
        <v>253</v>
      </c>
      <c r="S23" s="187"/>
      <c r="T23" s="188" t="n">
        <f aca="false">T22*'Datasize-Parameters'!$C$29</f>
        <v>236.739863313734</v>
      </c>
    </row>
    <row r="24" customFormat="false" ht="15" hidden="false" customHeight="false" outlineLevel="0" collapsed="false">
      <c r="A24" s="12"/>
      <c r="B24" s="184" t="s">
        <v>255</v>
      </c>
      <c r="C24" s="187"/>
      <c r="D24" s="188" t="n">
        <f aca="false">D22*'Datasize-Parameters'!$C$30</f>
        <v>215.620076780319</v>
      </c>
      <c r="F24" s="184" t="s">
        <v>255</v>
      </c>
      <c r="G24" s="187"/>
      <c r="H24" s="188" t="n">
        <f aca="false">H22*'Datasize-Parameters'!$C$30</f>
        <v>237.174825089455</v>
      </c>
      <c r="J24" s="184" t="s">
        <v>255</v>
      </c>
      <c r="K24" s="187"/>
      <c r="L24" s="188" t="n">
        <f aca="false">L22*'Datasize-Parameters'!$C$30</f>
        <v>260.884685833263</v>
      </c>
      <c r="N24" s="184" t="s">
        <v>255</v>
      </c>
      <c r="O24" s="187"/>
      <c r="P24" s="188" t="n">
        <f aca="false">P22*'Datasize-Parameters'!$C$30</f>
        <v>286.965152135401</v>
      </c>
      <c r="R24" s="184" t="s">
        <v>255</v>
      </c>
      <c r="S24" s="187"/>
      <c r="T24" s="188" t="n">
        <f aca="false">T22*'Datasize-Parameters'!$C$30</f>
        <v>315.653151084979</v>
      </c>
    </row>
    <row r="25" customFormat="false" ht="15" hidden="false" customHeight="false" outlineLevel="0" collapsed="false">
      <c r="A25" s="12"/>
      <c r="B25" s="184" t="s">
        <v>256</v>
      </c>
      <c r="C25" s="187"/>
      <c r="D25" s="188" t="n">
        <f aca="false">D22*'Datasize-Parameters'!$C$31</f>
        <v>215.620076780319</v>
      </c>
      <c r="F25" s="184" t="s">
        <v>256</v>
      </c>
      <c r="G25" s="187"/>
      <c r="H25" s="188" t="n">
        <f aca="false">H22*'Datasize-Parameters'!$C$31</f>
        <v>237.174825089455</v>
      </c>
      <c r="J25" s="184" t="s">
        <v>256</v>
      </c>
      <c r="K25" s="187"/>
      <c r="L25" s="188" t="n">
        <f aca="false">L22*'Datasize-Parameters'!$C$31</f>
        <v>260.884685833263</v>
      </c>
      <c r="N25" s="184" t="s">
        <v>256</v>
      </c>
      <c r="O25" s="187"/>
      <c r="P25" s="188" t="n">
        <f aca="false">P22*'Datasize-Parameters'!$C$31</f>
        <v>286.965152135401</v>
      </c>
      <c r="R25" s="184" t="s">
        <v>256</v>
      </c>
      <c r="S25" s="187"/>
      <c r="T25" s="188" t="n">
        <f aca="false">T22*'Datasize-Parameters'!$C$31</f>
        <v>315.653151084979</v>
      </c>
    </row>
    <row r="26" customFormat="false" ht="15" hidden="false" customHeight="false" outlineLevel="0" collapsed="false">
      <c r="A26" s="12"/>
      <c r="B26" s="183" t="s">
        <v>275</v>
      </c>
      <c r="C26" s="187"/>
      <c r="D26" s="188" t="n">
        <f aca="false">D22*'Datasize-Parameters'!$C$32</f>
        <v>215.620076780319</v>
      </c>
      <c r="F26" s="183" t="s">
        <v>275</v>
      </c>
      <c r="G26" s="187"/>
      <c r="H26" s="188" t="n">
        <f aca="false">H22*'Datasize-Parameters'!$C$32</f>
        <v>237.174825089455</v>
      </c>
      <c r="J26" s="183" t="s">
        <v>275</v>
      </c>
      <c r="K26" s="187"/>
      <c r="L26" s="188" t="n">
        <f aca="false">L22*'Datasize-Parameters'!$C$32</f>
        <v>260.884685833263</v>
      </c>
      <c r="N26" s="183" t="s">
        <v>275</v>
      </c>
      <c r="O26" s="187"/>
      <c r="P26" s="188" t="n">
        <f aca="false">P22*'Datasize-Parameters'!$C$32</f>
        <v>286.965152135401</v>
      </c>
      <c r="R26" s="183" t="s">
        <v>275</v>
      </c>
      <c r="S26" s="187"/>
      <c r="T26" s="188" t="n">
        <f aca="false">T22*'Datasize-Parameters'!$C$32</f>
        <v>315.653151084979</v>
      </c>
    </row>
    <row r="27" customFormat="false" ht="15" hidden="false" customHeight="false" outlineLevel="0" collapsed="false">
      <c r="A27" s="12"/>
      <c r="B27" s="184" t="s">
        <v>276</v>
      </c>
      <c r="C27" s="187"/>
      <c r="D27" s="188" t="n">
        <f aca="false">D23*'Datasize-Parameters'!$C$33</f>
        <v>40.4287643963099</v>
      </c>
      <c r="F27" s="184" t="s">
        <v>276</v>
      </c>
      <c r="G27" s="187"/>
      <c r="H27" s="188" t="n">
        <f aca="false">H23*'Datasize-Parameters'!$C$33</f>
        <v>44.4702797042728</v>
      </c>
      <c r="J27" s="184" t="s">
        <v>276</v>
      </c>
      <c r="K27" s="187"/>
      <c r="L27" s="188" t="n">
        <f aca="false">L23*'Datasize-Parameters'!$C$33</f>
        <v>48.9158785937369</v>
      </c>
      <c r="N27" s="184" t="s">
        <v>276</v>
      </c>
      <c r="O27" s="187"/>
      <c r="P27" s="188" t="n">
        <f aca="false">P23*'Datasize-Parameters'!$C$33</f>
        <v>53.8059660253877</v>
      </c>
      <c r="R27" s="184" t="s">
        <v>276</v>
      </c>
      <c r="S27" s="187"/>
      <c r="T27" s="188" t="n">
        <f aca="false">T23*'Datasize-Parameters'!$C$33</f>
        <v>59.1849658284336</v>
      </c>
    </row>
    <row r="28" customFormat="false" ht="15" hidden="false" customHeight="false" outlineLevel="0" collapsed="false">
      <c r="A28" s="12"/>
      <c r="B28" s="184" t="s">
        <v>277</v>
      </c>
      <c r="C28" s="187"/>
      <c r="D28" s="188" t="n">
        <f aca="false">D22*'Datasize-Parameters'!$C$34</f>
        <v>107.81003839016</v>
      </c>
      <c r="F28" s="184" t="s">
        <v>277</v>
      </c>
      <c r="G28" s="187"/>
      <c r="H28" s="188" t="n">
        <f aca="false">H22*'Datasize-Parameters'!$C$34</f>
        <v>118.587412544727</v>
      </c>
      <c r="J28" s="184" t="s">
        <v>277</v>
      </c>
      <c r="K28" s="187"/>
      <c r="L28" s="188" t="n">
        <f aca="false">L22*'Datasize-Parameters'!$C$34</f>
        <v>130.442342916632</v>
      </c>
      <c r="N28" s="184" t="s">
        <v>277</v>
      </c>
      <c r="O28" s="187"/>
      <c r="P28" s="188" t="n">
        <f aca="false">P22*'Datasize-Parameters'!$C$34</f>
        <v>143.4825760677</v>
      </c>
      <c r="R28" s="184" t="s">
        <v>277</v>
      </c>
      <c r="S28" s="187"/>
      <c r="T28" s="188" t="n">
        <f aca="false">T22*'Datasize-Parameters'!$C$34</f>
        <v>157.82657554249</v>
      </c>
    </row>
    <row r="29" customFormat="false" ht="15" hidden="false" customHeight="false" outlineLevel="0" collapsed="false">
      <c r="A29" s="12"/>
      <c r="B29" s="184"/>
      <c r="C29" s="187"/>
      <c r="D29" s="188"/>
      <c r="F29" s="184"/>
      <c r="G29" s="187"/>
      <c r="H29" s="188"/>
      <c r="J29" s="184"/>
      <c r="K29" s="187"/>
      <c r="L29" s="188"/>
      <c r="N29" s="184"/>
      <c r="O29" s="187"/>
      <c r="P29" s="188"/>
      <c r="R29" s="184"/>
      <c r="S29" s="187"/>
      <c r="T29" s="188"/>
    </row>
    <row r="30" customFormat="false" ht="20.85" hidden="false" customHeight="false" outlineLevel="0" collapsed="false">
      <c r="A30" s="12"/>
      <c r="B30" s="189" t="s">
        <v>278</v>
      </c>
      <c r="C30" s="187"/>
      <c r="D30" s="190" t="n">
        <f aca="false">SUM(D22:D28)</f>
        <v>2034.91447461426</v>
      </c>
      <c r="F30" s="189" t="s">
        <v>279</v>
      </c>
      <c r="G30" s="187"/>
      <c r="H30" s="190" t="n">
        <f aca="false">SUM(H22:H28)</f>
        <v>2238.33741178173</v>
      </c>
      <c r="J30" s="189" t="s">
        <v>280</v>
      </c>
      <c r="K30" s="187"/>
      <c r="L30" s="190" t="n">
        <f aca="false">SUM(L22:L28)</f>
        <v>2462.09922255142</v>
      </c>
      <c r="N30" s="189" t="s">
        <v>281</v>
      </c>
      <c r="O30" s="187"/>
      <c r="P30" s="190" t="n">
        <f aca="false">SUM(P22:P28)</f>
        <v>2708.23362327785</v>
      </c>
      <c r="R30" s="189" t="s">
        <v>282</v>
      </c>
      <c r="S30" s="187"/>
      <c r="T30" s="190" t="n">
        <f aca="false">SUM(T22:T28)</f>
        <v>2978.97661336449</v>
      </c>
    </row>
    <row r="31" customFormat="false" ht="15" hidden="false" customHeight="false" outlineLevel="0" collapsed="false">
      <c r="A31" s="12"/>
      <c r="B31" s="177" t="s">
        <v>283</v>
      </c>
      <c r="C31" s="187"/>
      <c r="D31" s="191" t="s">
        <v>284</v>
      </c>
      <c r="F31" s="177" t="s">
        <v>283</v>
      </c>
      <c r="G31" s="187"/>
      <c r="H31" s="191" t="s">
        <v>284</v>
      </c>
      <c r="J31" s="177" t="s">
        <v>283</v>
      </c>
      <c r="K31" s="187"/>
      <c r="L31" s="191" t="s">
        <v>284</v>
      </c>
      <c r="N31" s="177" t="s">
        <v>283</v>
      </c>
      <c r="O31" s="187"/>
      <c r="P31" s="191" t="s">
        <v>284</v>
      </c>
      <c r="R31" s="177" t="s">
        <v>283</v>
      </c>
      <c r="S31" s="187"/>
      <c r="T31" s="191" t="s">
        <v>284</v>
      </c>
    </row>
    <row r="32" customFormat="false" ht="15" hidden="false" customHeight="false" outlineLevel="0" collapsed="false">
      <c r="A32" s="12"/>
    </row>
    <row r="33" customFormat="false" ht="15" hidden="false" customHeight="false" outlineLevel="0" collapsed="false">
      <c r="A33" s="12"/>
    </row>
    <row r="34" customFormat="false" ht="15" hidden="false" customHeight="false" outlineLevel="0" collapsed="false">
      <c r="A34" s="12"/>
    </row>
    <row r="35" customFormat="false" ht="15" hidden="false" customHeight="false" outlineLevel="0" collapsed="false">
      <c r="A35" s="12"/>
    </row>
    <row r="36" customFormat="false" ht="15" hidden="false" customHeight="false" outlineLevel="0" collapsed="false">
      <c r="A36" s="12"/>
    </row>
    <row r="37" customFormat="false" ht="15" hidden="false" customHeight="false" outlineLevel="0" collapsed="false">
      <c r="A37" s="12"/>
    </row>
    <row r="38" customFormat="false" ht="15" hidden="false" customHeight="false" outlineLevel="0" collapsed="false">
      <c r="A38" s="12"/>
    </row>
    <row r="39" customFormat="false" ht="15" hidden="false" customHeight="false" outlineLevel="0" collapsed="false">
      <c r="A39" s="12"/>
    </row>
    <row r="40" customFormat="false" ht="15" hidden="false" customHeight="false" outlineLevel="0" collapsed="false">
      <c r="A40" s="12"/>
    </row>
    <row r="41" customFormat="false" ht="15" hidden="false" customHeight="false" outlineLevel="0" collapsed="false">
      <c r="A41" s="12"/>
    </row>
    <row r="42" customFormat="false" ht="15" hidden="false" customHeight="false" outlineLevel="0" collapsed="false">
      <c r="A42" s="12"/>
    </row>
    <row r="43" customFormat="false" ht="15" hidden="false" customHeight="false" outlineLevel="0" collapsed="false">
      <c r="A43" s="12"/>
    </row>
  </sheetData>
  <sheetProtection algorithmName="SHA-512" hashValue="t0fca3FPuK+vwfgFYIHg0VnPaBcpzMSioZeWVXCqZbgpkNMGIc5tg2INxea1dnWBwbE+1Mnvp31gl337qV2fmg==" saltValue="/+CclrriZFC4OqOjrFhdJQ==" spinCount="100000" sheet="true" objects="true" scenarios="true"/>
  <protectedRanges>
    <protectedRange name="First Year_1" sqref="C5:C15 G5:G15 K5:K15 O5:O15 S5:S15"/>
  </protectedRanges>
  <mergeCells count="5">
    <mergeCell ref="B17:C17"/>
    <mergeCell ref="F17:G17"/>
    <mergeCell ref="J17:K17"/>
    <mergeCell ref="N17:O17"/>
    <mergeCell ref="R17:S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5" activeCellId="0" sqref="C5"/>
    </sheetView>
  </sheetViews>
  <sheetFormatPr defaultColWidth="11.71484375" defaultRowHeight="15" zeroHeight="false" outlineLevelRow="0" outlineLevelCol="0"/>
  <cols>
    <col collapsed="false" customWidth="true" hidden="false" outlineLevel="0" max="1" min="1" style="1" width="2.29"/>
    <col collapsed="false" customWidth="true" hidden="false" outlineLevel="0" max="2" min="2" style="110" width="21"/>
    <col collapsed="false" customWidth="true" hidden="false" outlineLevel="0" max="3" min="3" style="42" width="17.71"/>
    <col collapsed="false" customWidth="true" hidden="false" outlineLevel="0" max="4" min="4" style="110" width="11.43"/>
    <col collapsed="false" customWidth="true" hidden="false" outlineLevel="0" max="5" min="5" style="42" width="3.71"/>
    <col collapsed="false" customWidth="true" hidden="false" outlineLevel="0" max="6" min="6" style="42" width="21.14"/>
    <col collapsed="false" customWidth="true" hidden="false" outlineLevel="0" max="7" min="7" style="42" width="17.71"/>
    <col collapsed="false" customWidth="true" hidden="false" outlineLevel="0" max="8" min="8" style="42" width="7.71"/>
    <col collapsed="false" customWidth="true" hidden="false" outlineLevel="0" max="9" min="9" style="42" width="3.71"/>
    <col collapsed="false" customWidth="true" hidden="false" outlineLevel="0" max="10" min="10" style="42" width="21"/>
    <col collapsed="false" customWidth="true" hidden="false" outlineLevel="0" max="11" min="11" style="111" width="17.71"/>
    <col collapsed="false" customWidth="true" hidden="false" outlineLevel="0" max="12" min="12" style="42" width="7.71"/>
    <col collapsed="false" customWidth="true" hidden="false" outlineLevel="0" max="13" min="13" style="42" width="3.71"/>
    <col collapsed="false" customWidth="true" hidden="false" outlineLevel="0" max="14" min="14" style="42" width="21"/>
    <col collapsed="false" customWidth="true" hidden="false" outlineLevel="0" max="15" min="15" style="42" width="17.71"/>
    <col collapsed="false" customWidth="true" hidden="false" outlineLevel="0" max="16" min="16" style="42" width="7.71"/>
    <col collapsed="false" customWidth="true" hidden="false" outlineLevel="0" max="17" min="17" style="42" width="3.71"/>
    <col collapsed="false" customWidth="true" hidden="false" outlineLevel="0" max="18" min="18" style="42" width="21"/>
    <col collapsed="false" customWidth="true" hidden="false" outlineLevel="0" max="19" min="19" style="42" width="17.71"/>
    <col collapsed="false" customWidth="true" hidden="false" outlineLevel="0" max="20" min="20" style="42" width="7.71"/>
    <col collapsed="false" customWidth="false" hidden="false" outlineLevel="0" max="255" min="21" style="42" width="11.71"/>
    <col collapsed="false" customWidth="true" hidden="false" outlineLevel="0" max="256" min="256" style="42" width="12.71"/>
    <col collapsed="false" customWidth="true" hidden="false" outlineLevel="0" max="257" min="257" style="42" width="14.14"/>
    <col collapsed="false" customWidth="true" hidden="false" outlineLevel="0" max="258" min="258" style="42" width="22.57"/>
    <col collapsed="false" customWidth="true" hidden="false" outlineLevel="0" max="259" min="259" style="42" width="10"/>
    <col collapsed="false" customWidth="true" hidden="false" outlineLevel="0" max="260" min="260" style="42" width="12.86"/>
    <col collapsed="false" customWidth="true" hidden="false" outlineLevel="0" max="261" min="261" style="42" width="4"/>
    <col collapsed="false" customWidth="true" hidden="false" outlineLevel="0" max="262" min="262" style="42" width="17"/>
    <col collapsed="false" customWidth="true" hidden="false" outlineLevel="0" max="263" min="263" style="42" width="9.42"/>
    <col collapsed="false" customWidth="true" hidden="false" outlineLevel="0" max="264" min="264" style="42" width="11.43"/>
    <col collapsed="false" customWidth="true" hidden="false" outlineLevel="0" max="265" min="265" style="42" width="4.57"/>
    <col collapsed="false" customWidth="true" hidden="false" outlineLevel="0" max="266" min="266" style="42" width="17.15"/>
    <col collapsed="false" customWidth="true" hidden="false" outlineLevel="0" max="267" min="267" style="42" width="10"/>
    <col collapsed="false" customWidth="true" hidden="false" outlineLevel="0" max="268" min="268" style="42" width="11.43"/>
    <col collapsed="false" customWidth="true" hidden="false" outlineLevel="0" max="269" min="269" style="42" width="6.29"/>
    <col collapsed="false" customWidth="true" hidden="false" outlineLevel="0" max="270" min="270" style="42" width="24.29"/>
    <col collapsed="false" customWidth="true" hidden="false" outlineLevel="0" max="271" min="271" style="42" width="10"/>
    <col collapsed="false" customWidth="true" hidden="false" outlineLevel="0" max="272" min="272" style="42" width="11.43"/>
    <col collapsed="false" customWidth="true" hidden="false" outlineLevel="0" max="273" min="273" style="42" width="6.85"/>
    <col collapsed="false" customWidth="true" hidden="false" outlineLevel="0" max="274" min="274" style="42" width="16.29"/>
    <col collapsed="false" customWidth="false" hidden="false" outlineLevel="0" max="511" min="275" style="42" width="11.71"/>
    <col collapsed="false" customWidth="true" hidden="false" outlineLevel="0" max="512" min="512" style="42" width="12.71"/>
    <col collapsed="false" customWidth="true" hidden="false" outlineLevel="0" max="513" min="513" style="42" width="14.14"/>
    <col collapsed="false" customWidth="true" hidden="false" outlineLevel="0" max="514" min="514" style="42" width="22.57"/>
    <col collapsed="false" customWidth="true" hidden="false" outlineLevel="0" max="515" min="515" style="42" width="10"/>
    <col collapsed="false" customWidth="true" hidden="false" outlineLevel="0" max="516" min="516" style="42" width="12.86"/>
    <col collapsed="false" customWidth="true" hidden="false" outlineLevel="0" max="517" min="517" style="42" width="4"/>
    <col collapsed="false" customWidth="true" hidden="false" outlineLevel="0" max="518" min="518" style="42" width="17"/>
    <col collapsed="false" customWidth="true" hidden="false" outlineLevel="0" max="519" min="519" style="42" width="9.42"/>
    <col collapsed="false" customWidth="true" hidden="false" outlineLevel="0" max="520" min="520" style="42" width="11.43"/>
    <col collapsed="false" customWidth="true" hidden="false" outlineLevel="0" max="521" min="521" style="42" width="4.57"/>
    <col collapsed="false" customWidth="true" hidden="false" outlineLevel="0" max="522" min="522" style="42" width="17.15"/>
    <col collapsed="false" customWidth="true" hidden="false" outlineLevel="0" max="523" min="523" style="42" width="10"/>
    <col collapsed="false" customWidth="true" hidden="false" outlineLevel="0" max="524" min="524" style="42" width="11.43"/>
    <col collapsed="false" customWidth="true" hidden="false" outlineLevel="0" max="525" min="525" style="42" width="6.29"/>
    <col collapsed="false" customWidth="true" hidden="false" outlineLevel="0" max="526" min="526" style="42" width="24.29"/>
    <col collapsed="false" customWidth="true" hidden="false" outlineLevel="0" max="527" min="527" style="42" width="10"/>
    <col collapsed="false" customWidth="true" hidden="false" outlineLevel="0" max="528" min="528" style="42" width="11.43"/>
    <col collapsed="false" customWidth="true" hidden="false" outlineLevel="0" max="529" min="529" style="42" width="6.85"/>
    <col collapsed="false" customWidth="true" hidden="false" outlineLevel="0" max="530" min="530" style="42" width="16.29"/>
    <col collapsed="false" customWidth="false" hidden="false" outlineLevel="0" max="767" min="531" style="42" width="11.71"/>
    <col collapsed="false" customWidth="true" hidden="false" outlineLevel="0" max="768" min="768" style="42" width="12.71"/>
    <col collapsed="false" customWidth="true" hidden="false" outlineLevel="0" max="769" min="769" style="42" width="14.14"/>
    <col collapsed="false" customWidth="true" hidden="false" outlineLevel="0" max="770" min="770" style="42" width="22.57"/>
    <col collapsed="false" customWidth="true" hidden="false" outlineLevel="0" max="771" min="771" style="42" width="10"/>
    <col collapsed="false" customWidth="true" hidden="false" outlineLevel="0" max="772" min="772" style="42" width="12.86"/>
    <col collapsed="false" customWidth="true" hidden="false" outlineLevel="0" max="773" min="773" style="42" width="4"/>
    <col collapsed="false" customWidth="true" hidden="false" outlineLevel="0" max="774" min="774" style="42" width="17"/>
    <col collapsed="false" customWidth="true" hidden="false" outlineLevel="0" max="775" min="775" style="42" width="9.42"/>
    <col collapsed="false" customWidth="true" hidden="false" outlineLevel="0" max="776" min="776" style="42" width="11.43"/>
    <col collapsed="false" customWidth="true" hidden="false" outlineLevel="0" max="777" min="777" style="42" width="4.57"/>
    <col collapsed="false" customWidth="true" hidden="false" outlineLevel="0" max="778" min="778" style="42" width="17.15"/>
    <col collapsed="false" customWidth="true" hidden="false" outlineLevel="0" max="779" min="779" style="42" width="10"/>
    <col collapsed="false" customWidth="true" hidden="false" outlineLevel="0" max="780" min="780" style="42" width="11.43"/>
    <col collapsed="false" customWidth="true" hidden="false" outlineLevel="0" max="781" min="781" style="42" width="6.29"/>
    <col collapsed="false" customWidth="true" hidden="false" outlineLevel="0" max="782" min="782" style="42" width="24.29"/>
    <col collapsed="false" customWidth="true" hidden="false" outlineLevel="0" max="783" min="783" style="42" width="10"/>
    <col collapsed="false" customWidth="true" hidden="false" outlineLevel="0" max="784" min="784" style="42" width="11.43"/>
    <col collapsed="false" customWidth="true" hidden="false" outlineLevel="0" max="785" min="785" style="42" width="6.85"/>
    <col collapsed="false" customWidth="true" hidden="false" outlineLevel="0" max="786" min="786" style="42" width="16.29"/>
    <col collapsed="false" customWidth="false" hidden="false" outlineLevel="0" max="1023" min="787" style="42" width="11.71"/>
    <col collapsed="false" customWidth="true" hidden="false" outlineLevel="0" max="1024" min="1024" style="42" width="12.71"/>
    <col collapsed="false" customWidth="true" hidden="false" outlineLevel="0" max="1025" min="1025" style="42" width="14.14"/>
    <col collapsed="false" customWidth="true" hidden="false" outlineLevel="0" max="1026" min="1026" style="42" width="22.57"/>
    <col collapsed="false" customWidth="true" hidden="false" outlineLevel="0" max="1027" min="1027" style="42" width="10"/>
    <col collapsed="false" customWidth="true" hidden="false" outlineLevel="0" max="1028" min="1028" style="42" width="12.86"/>
    <col collapsed="false" customWidth="true" hidden="false" outlineLevel="0" max="1029" min="1029" style="42" width="4"/>
    <col collapsed="false" customWidth="true" hidden="false" outlineLevel="0" max="1030" min="1030" style="42" width="17"/>
    <col collapsed="false" customWidth="true" hidden="false" outlineLevel="0" max="1031" min="1031" style="42" width="9.42"/>
    <col collapsed="false" customWidth="true" hidden="false" outlineLevel="0" max="1032" min="1032" style="42" width="11.43"/>
    <col collapsed="false" customWidth="true" hidden="false" outlineLevel="0" max="1033" min="1033" style="42" width="4.57"/>
    <col collapsed="false" customWidth="true" hidden="false" outlineLevel="0" max="1034" min="1034" style="42" width="17.15"/>
    <col collapsed="false" customWidth="true" hidden="false" outlineLevel="0" max="1035" min="1035" style="42" width="10"/>
    <col collapsed="false" customWidth="true" hidden="false" outlineLevel="0" max="1036" min="1036" style="42" width="11.43"/>
    <col collapsed="false" customWidth="true" hidden="false" outlineLevel="0" max="1037" min="1037" style="42" width="6.29"/>
    <col collapsed="false" customWidth="true" hidden="false" outlineLevel="0" max="1038" min="1038" style="42" width="24.29"/>
    <col collapsed="false" customWidth="true" hidden="false" outlineLevel="0" max="1039" min="1039" style="42" width="10"/>
    <col collapsed="false" customWidth="true" hidden="false" outlineLevel="0" max="1040" min="1040" style="42" width="11.43"/>
    <col collapsed="false" customWidth="true" hidden="false" outlineLevel="0" max="1041" min="1041" style="42" width="6.85"/>
    <col collapsed="false" customWidth="true" hidden="false" outlineLevel="0" max="1042" min="1042" style="42" width="16.29"/>
    <col collapsed="false" customWidth="false" hidden="false" outlineLevel="0" max="1279" min="1043" style="42" width="11.71"/>
    <col collapsed="false" customWidth="true" hidden="false" outlineLevel="0" max="1280" min="1280" style="42" width="12.71"/>
    <col collapsed="false" customWidth="true" hidden="false" outlineLevel="0" max="1281" min="1281" style="42" width="14.14"/>
    <col collapsed="false" customWidth="true" hidden="false" outlineLevel="0" max="1282" min="1282" style="42" width="22.57"/>
    <col collapsed="false" customWidth="true" hidden="false" outlineLevel="0" max="1283" min="1283" style="42" width="10"/>
    <col collapsed="false" customWidth="true" hidden="false" outlineLevel="0" max="1284" min="1284" style="42" width="12.86"/>
    <col collapsed="false" customWidth="true" hidden="false" outlineLevel="0" max="1285" min="1285" style="42" width="4"/>
    <col collapsed="false" customWidth="true" hidden="false" outlineLevel="0" max="1286" min="1286" style="42" width="17"/>
    <col collapsed="false" customWidth="true" hidden="false" outlineLevel="0" max="1287" min="1287" style="42" width="9.42"/>
    <col collapsed="false" customWidth="true" hidden="false" outlineLevel="0" max="1288" min="1288" style="42" width="11.43"/>
    <col collapsed="false" customWidth="true" hidden="false" outlineLevel="0" max="1289" min="1289" style="42" width="4.57"/>
    <col collapsed="false" customWidth="true" hidden="false" outlineLevel="0" max="1290" min="1290" style="42" width="17.15"/>
    <col collapsed="false" customWidth="true" hidden="false" outlineLevel="0" max="1291" min="1291" style="42" width="10"/>
    <col collapsed="false" customWidth="true" hidden="false" outlineLevel="0" max="1292" min="1292" style="42" width="11.43"/>
    <col collapsed="false" customWidth="true" hidden="false" outlineLevel="0" max="1293" min="1293" style="42" width="6.29"/>
    <col collapsed="false" customWidth="true" hidden="false" outlineLevel="0" max="1294" min="1294" style="42" width="24.29"/>
    <col collapsed="false" customWidth="true" hidden="false" outlineLevel="0" max="1295" min="1295" style="42" width="10"/>
    <col collapsed="false" customWidth="true" hidden="false" outlineLevel="0" max="1296" min="1296" style="42" width="11.43"/>
    <col collapsed="false" customWidth="true" hidden="false" outlineLevel="0" max="1297" min="1297" style="42" width="6.85"/>
    <col collapsed="false" customWidth="true" hidden="false" outlineLevel="0" max="1298" min="1298" style="42" width="16.29"/>
    <col collapsed="false" customWidth="false" hidden="false" outlineLevel="0" max="1535" min="1299" style="42" width="11.71"/>
    <col collapsed="false" customWidth="true" hidden="false" outlineLevel="0" max="1536" min="1536" style="42" width="12.71"/>
    <col collapsed="false" customWidth="true" hidden="false" outlineLevel="0" max="1537" min="1537" style="42" width="14.14"/>
    <col collapsed="false" customWidth="true" hidden="false" outlineLevel="0" max="1538" min="1538" style="42" width="22.57"/>
    <col collapsed="false" customWidth="true" hidden="false" outlineLevel="0" max="1539" min="1539" style="42" width="10"/>
    <col collapsed="false" customWidth="true" hidden="false" outlineLevel="0" max="1540" min="1540" style="42" width="12.86"/>
    <col collapsed="false" customWidth="true" hidden="false" outlineLevel="0" max="1541" min="1541" style="42" width="4"/>
    <col collapsed="false" customWidth="true" hidden="false" outlineLevel="0" max="1542" min="1542" style="42" width="17"/>
    <col collapsed="false" customWidth="true" hidden="false" outlineLevel="0" max="1543" min="1543" style="42" width="9.42"/>
    <col collapsed="false" customWidth="true" hidden="false" outlineLevel="0" max="1544" min="1544" style="42" width="11.43"/>
    <col collapsed="false" customWidth="true" hidden="false" outlineLevel="0" max="1545" min="1545" style="42" width="4.57"/>
    <col collapsed="false" customWidth="true" hidden="false" outlineLevel="0" max="1546" min="1546" style="42" width="17.15"/>
    <col collapsed="false" customWidth="true" hidden="false" outlineLevel="0" max="1547" min="1547" style="42" width="10"/>
    <col collapsed="false" customWidth="true" hidden="false" outlineLevel="0" max="1548" min="1548" style="42" width="11.43"/>
    <col collapsed="false" customWidth="true" hidden="false" outlineLevel="0" max="1549" min="1549" style="42" width="6.29"/>
    <col collapsed="false" customWidth="true" hidden="false" outlineLevel="0" max="1550" min="1550" style="42" width="24.29"/>
    <col collapsed="false" customWidth="true" hidden="false" outlineLevel="0" max="1551" min="1551" style="42" width="10"/>
    <col collapsed="false" customWidth="true" hidden="false" outlineLevel="0" max="1552" min="1552" style="42" width="11.43"/>
    <col collapsed="false" customWidth="true" hidden="false" outlineLevel="0" max="1553" min="1553" style="42" width="6.85"/>
    <col collapsed="false" customWidth="true" hidden="false" outlineLevel="0" max="1554" min="1554" style="42" width="16.29"/>
    <col collapsed="false" customWidth="false" hidden="false" outlineLevel="0" max="1791" min="1555" style="42" width="11.71"/>
    <col collapsed="false" customWidth="true" hidden="false" outlineLevel="0" max="1792" min="1792" style="42" width="12.71"/>
    <col collapsed="false" customWidth="true" hidden="false" outlineLevel="0" max="1793" min="1793" style="42" width="14.14"/>
    <col collapsed="false" customWidth="true" hidden="false" outlineLevel="0" max="1794" min="1794" style="42" width="22.57"/>
    <col collapsed="false" customWidth="true" hidden="false" outlineLevel="0" max="1795" min="1795" style="42" width="10"/>
    <col collapsed="false" customWidth="true" hidden="false" outlineLevel="0" max="1796" min="1796" style="42" width="12.86"/>
    <col collapsed="false" customWidth="true" hidden="false" outlineLevel="0" max="1797" min="1797" style="42" width="4"/>
    <col collapsed="false" customWidth="true" hidden="false" outlineLevel="0" max="1798" min="1798" style="42" width="17"/>
    <col collapsed="false" customWidth="true" hidden="false" outlineLevel="0" max="1799" min="1799" style="42" width="9.42"/>
    <col collapsed="false" customWidth="true" hidden="false" outlineLevel="0" max="1800" min="1800" style="42" width="11.43"/>
    <col collapsed="false" customWidth="true" hidden="false" outlineLevel="0" max="1801" min="1801" style="42" width="4.57"/>
    <col collapsed="false" customWidth="true" hidden="false" outlineLevel="0" max="1802" min="1802" style="42" width="17.15"/>
    <col collapsed="false" customWidth="true" hidden="false" outlineLevel="0" max="1803" min="1803" style="42" width="10"/>
    <col collapsed="false" customWidth="true" hidden="false" outlineLevel="0" max="1804" min="1804" style="42" width="11.43"/>
    <col collapsed="false" customWidth="true" hidden="false" outlineLevel="0" max="1805" min="1805" style="42" width="6.29"/>
    <col collapsed="false" customWidth="true" hidden="false" outlineLevel="0" max="1806" min="1806" style="42" width="24.29"/>
    <col collapsed="false" customWidth="true" hidden="false" outlineLevel="0" max="1807" min="1807" style="42" width="10"/>
    <col collapsed="false" customWidth="true" hidden="false" outlineLevel="0" max="1808" min="1808" style="42" width="11.43"/>
    <col collapsed="false" customWidth="true" hidden="false" outlineLevel="0" max="1809" min="1809" style="42" width="6.85"/>
    <col collapsed="false" customWidth="true" hidden="false" outlineLevel="0" max="1810" min="1810" style="42" width="16.29"/>
    <col collapsed="false" customWidth="false" hidden="false" outlineLevel="0" max="2047" min="1811" style="42" width="11.71"/>
    <col collapsed="false" customWidth="true" hidden="false" outlineLevel="0" max="2048" min="2048" style="42" width="12.71"/>
    <col collapsed="false" customWidth="true" hidden="false" outlineLevel="0" max="2049" min="2049" style="42" width="14.14"/>
    <col collapsed="false" customWidth="true" hidden="false" outlineLevel="0" max="2050" min="2050" style="42" width="22.57"/>
    <col collapsed="false" customWidth="true" hidden="false" outlineLevel="0" max="2051" min="2051" style="42" width="10"/>
    <col collapsed="false" customWidth="true" hidden="false" outlineLevel="0" max="2052" min="2052" style="42" width="12.86"/>
    <col collapsed="false" customWidth="true" hidden="false" outlineLevel="0" max="2053" min="2053" style="42" width="4"/>
    <col collapsed="false" customWidth="true" hidden="false" outlineLevel="0" max="2054" min="2054" style="42" width="17"/>
    <col collapsed="false" customWidth="true" hidden="false" outlineLevel="0" max="2055" min="2055" style="42" width="9.42"/>
    <col collapsed="false" customWidth="true" hidden="false" outlineLevel="0" max="2056" min="2056" style="42" width="11.43"/>
    <col collapsed="false" customWidth="true" hidden="false" outlineLevel="0" max="2057" min="2057" style="42" width="4.57"/>
    <col collapsed="false" customWidth="true" hidden="false" outlineLevel="0" max="2058" min="2058" style="42" width="17.15"/>
    <col collapsed="false" customWidth="true" hidden="false" outlineLevel="0" max="2059" min="2059" style="42" width="10"/>
    <col collapsed="false" customWidth="true" hidden="false" outlineLevel="0" max="2060" min="2060" style="42" width="11.43"/>
    <col collapsed="false" customWidth="true" hidden="false" outlineLevel="0" max="2061" min="2061" style="42" width="6.29"/>
    <col collapsed="false" customWidth="true" hidden="false" outlineLevel="0" max="2062" min="2062" style="42" width="24.29"/>
    <col collapsed="false" customWidth="true" hidden="false" outlineLevel="0" max="2063" min="2063" style="42" width="10"/>
    <col collapsed="false" customWidth="true" hidden="false" outlineLevel="0" max="2064" min="2064" style="42" width="11.43"/>
    <col collapsed="false" customWidth="true" hidden="false" outlineLevel="0" max="2065" min="2065" style="42" width="6.85"/>
    <col collapsed="false" customWidth="true" hidden="false" outlineLevel="0" max="2066" min="2066" style="42" width="16.29"/>
    <col collapsed="false" customWidth="false" hidden="false" outlineLevel="0" max="2303" min="2067" style="42" width="11.71"/>
    <col collapsed="false" customWidth="true" hidden="false" outlineLevel="0" max="2304" min="2304" style="42" width="12.71"/>
    <col collapsed="false" customWidth="true" hidden="false" outlineLevel="0" max="2305" min="2305" style="42" width="14.14"/>
    <col collapsed="false" customWidth="true" hidden="false" outlineLevel="0" max="2306" min="2306" style="42" width="22.57"/>
    <col collapsed="false" customWidth="true" hidden="false" outlineLevel="0" max="2307" min="2307" style="42" width="10"/>
    <col collapsed="false" customWidth="true" hidden="false" outlineLevel="0" max="2308" min="2308" style="42" width="12.86"/>
    <col collapsed="false" customWidth="true" hidden="false" outlineLevel="0" max="2309" min="2309" style="42" width="4"/>
    <col collapsed="false" customWidth="true" hidden="false" outlineLevel="0" max="2310" min="2310" style="42" width="17"/>
    <col collapsed="false" customWidth="true" hidden="false" outlineLevel="0" max="2311" min="2311" style="42" width="9.42"/>
    <col collapsed="false" customWidth="true" hidden="false" outlineLevel="0" max="2312" min="2312" style="42" width="11.43"/>
    <col collapsed="false" customWidth="true" hidden="false" outlineLevel="0" max="2313" min="2313" style="42" width="4.57"/>
    <col collapsed="false" customWidth="true" hidden="false" outlineLevel="0" max="2314" min="2314" style="42" width="17.15"/>
    <col collapsed="false" customWidth="true" hidden="false" outlineLevel="0" max="2315" min="2315" style="42" width="10"/>
    <col collapsed="false" customWidth="true" hidden="false" outlineLevel="0" max="2316" min="2316" style="42" width="11.43"/>
    <col collapsed="false" customWidth="true" hidden="false" outlineLevel="0" max="2317" min="2317" style="42" width="6.29"/>
    <col collapsed="false" customWidth="true" hidden="false" outlineLevel="0" max="2318" min="2318" style="42" width="24.29"/>
    <col collapsed="false" customWidth="true" hidden="false" outlineLevel="0" max="2319" min="2319" style="42" width="10"/>
    <col collapsed="false" customWidth="true" hidden="false" outlineLevel="0" max="2320" min="2320" style="42" width="11.43"/>
    <col collapsed="false" customWidth="true" hidden="false" outlineLevel="0" max="2321" min="2321" style="42" width="6.85"/>
    <col collapsed="false" customWidth="true" hidden="false" outlineLevel="0" max="2322" min="2322" style="42" width="16.29"/>
    <col collapsed="false" customWidth="false" hidden="false" outlineLevel="0" max="2559" min="2323" style="42" width="11.71"/>
    <col collapsed="false" customWidth="true" hidden="false" outlineLevel="0" max="2560" min="2560" style="42" width="12.71"/>
    <col collapsed="false" customWidth="true" hidden="false" outlineLevel="0" max="2561" min="2561" style="42" width="14.14"/>
    <col collapsed="false" customWidth="true" hidden="false" outlineLevel="0" max="2562" min="2562" style="42" width="22.57"/>
    <col collapsed="false" customWidth="true" hidden="false" outlineLevel="0" max="2563" min="2563" style="42" width="10"/>
    <col collapsed="false" customWidth="true" hidden="false" outlineLevel="0" max="2564" min="2564" style="42" width="12.86"/>
    <col collapsed="false" customWidth="true" hidden="false" outlineLevel="0" max="2565" min="2565" style="42" width="4"/>
    <col collapsed="false" customWidth="true" hidden="false" outlineLevel="0" max="2566" min="2566" style="42" width="17"/>
    <col collapsed="false" customWidth="true" hidden="false" outlineLevel="0" max="2567" min="2567" style="42" width="9.42"/>
    <col collapsed="false" customWidth="true" hidden="false" outlineLevel="0" max="2568" min="2568" style="42" width="11.43"/>
    <col collapsed="false" customWidth="true" hidden="false" outlineLevel="0" max="2569" min="2569" style="42" width="4.57"/>
    <col collapsed="false" customWidth="true" hidden="false" outlineLevel="0" max="2570" min="2570" style="42" width="17.15"/>
    <col collapsed="false" customWidth="true" hidden="false" outlineLevel="0" max="2571" min="2571" style="42" width="10"/>
    <col collapsed="false" customWidth="true" hidden="false" outlineLevel="0" max="2572" min="2572" style="42" width="11.43"/>
    <col collapsed="false" customWidth="true" hidden="false" outlineLevel="0" max="2573" min="2573" style="42" width="6.29"/>
    <col collapsed="false" customWidth="true" hidden="false" outlineLevel="0" max="2574" min="2574" style="42" width="24.29"/>
    <col collapsed="false" customWidth="true" hidden="false" outlineLevel="0" max="2575" min="2575" style="42" width="10"/>
    <col collapsed="false" customWidth="true" hidden="false" outlineLevel="0" max="2576" min="2576" style="42" width="11.43"/>
    <col collapsed="false" customWidth="true" hidden="false" outlineLevel="0" max="2577" min="2577" style="42" width="6.85"/>
    <col collapsed="false" customWidth="true" hidden="false" outlineLevel="0" max="2578" min="2578" style="42" width="16.29"/>
    <col collapsed="false" customWidth="false" hidden="false" outlineLevel="0" max="2815" min="2579" style="42" width="11.71"/>
    <col collapsed="false" customWidth="true" hidden="false" outlineLevel="0" max="2816" min="2816" style="42" width="12.71"/>
    <col collapsed="false" customWidth="true" hidden="false" outlineLevel="0" max="2817" min="2817" style="42" width="14.14"/>
    <col collapsed="false" customWidth="true" hidden="false" outlineLevel="0" max="2818" min="2818" style="42" width="22.57"/>
    <col collapsed="false" customWidth="true" hidden="false" outlineLevel="0" max="2819" min="2819" style="42" width="10"/>
    <col collapsed="false" customWidth="true" hidden="false" outlineLevel="0" max="2820" min="2820" style="42" width="12.86"/>
    <col collapsed="false" customWidth="true" hidden="false" outlineLevel="0" max="2821" min="2821" style="42" width="4"/>
    <col collapsed="false" customWidth="true" hidden="false" outlineLevel="0" max="2822" min="2822" style="42" width="17"/>
    <col collapsed="false" customWidth="true" hidden="false" outlineLevel="0" max="2823" min="2823" style="42" width="9.42"/>
    <col collapsed="false" customWidth="true" hidden="false" outlineLevel="0" max="2824" min="2824" style="42" width="11.43"/>
    <col collapsed="false" customWidth="true" hidden="false" outlineLevel="0" max="2825" min="2825" style="42" width="4.57"/>
    <col collapsed="false" customWidth="true" hidden="false" outlineLevel="0" max="2826" min="2826" style="42" width="17.15"/>
    <col collapsed="false" customWidth="true" hidden="false" outlineLevel="0" max="2827" min="2827" style="42" width="10"/>
    <col collapsed="false" customWidth="true" hidden="false" outlineLevel="0" max="2828" min="2828" style="42" width="11.43"/>
    <col collapsed="false" customWidth="true" hidden="false" outlineLevel="0" max="2829" min="2829" style="42" width="6.29"/>
    <col collapsed="false" customWidth="true" hidden="false" outlineLevel="0" max="2830" min="2830" style="42" width="24.29"/>
    <col collapsed="false" customWidth="true" hidden="false" outlineLevel="0" max="2831" min="2831" style="42" width="10"/>
    <col collapsed="false" customWidth="true" hidden="false" outlineLevel="0" max="2832" min="2832" style="42" width="11.43"/>
    <col collapsed="false" customWidth="true" hidden="false" outlineLevel="0" max="2833" min="2833" style="42" width="6.85"/>
    <col collapsed="false" customWidth="true" hidden="false" outlineLevel="0" max="2834" min="2834" style="42" width="16.29"/>
    <col collapsed="false" customWidth="false" hidden="false" outlineLevel="0" max="3071" min="2835" style="42" width="11.71"/>
    <col collapsed="false" customWidth="true" hidden="false" outlineLevel="0" max="3072" min="3072" style="42" width="12.71"/>
    <col collapsed="false" customWidth="true" hidden="false" outlineLevel="0" max="3073" min="3073" style="42" width="14.14"/>
    <col collapsed="false" customWidth="true" hidden="false" outlineLevel="0" max="3074" min="3074" style="42" width="22.57"/>
    <col collapsed="false" customWidth="true" hidden="false" outlineLevel="0" max="3075" min="3075" style="42" width="10"/>
    <col collapsed="false" customWidth="true" hidden="false" outlineLevel="0" max="3076" min="3076" style="42" width="12.86"/>
    <col collapsed="false" customWidth="true" hidden="false" outlineLevel="0" max="3077" min="3077" style="42" width="4"/>
    <col collapsed="false" customWidth="true" hidden="false" outlineLevel="0" max="3078" min="3078" style="42" width="17"/>
    <col collapsed="false" customWidth="true" hidden="false" outlineLevel="0" max="3079" min="3079" style="42" width="9.42"/>
    <col collapsed="false" customWidth="true" hidden="false" outlineLevel="0" max="3080" min="3080" style="42" width="11.43"/>
    <col collapsed="false" customWidth="true" hidden="false" outlineLevel="0" max="3081" min="3081" style="42" width="4.57"/>
    <col collapsed="false" customWidth="true" hidden="false" outlineLevel="0" max="3082" min="3082" style="42" width="17.15"/>
    <col collapsed="false" customWidth="true" hidden="false" outlineLevel="0" max="3083" min="3083" style="42" width="10"/>
    <col collapsed="false" customWidth="true" hidden="false" outlineLevel="0" max="3084" min="3084" style="42" width="11.43"/>
    <col collapsed="false" customWidth="true" hidden="false" outlineLevel="0" max="3085" min="3085" style="42" width="6.29"/>
    <col collapsed="false" customWidth="true" hidden="false" outlineLevel="0" max="3086" min="3086" style="42" width="24.29"/>
    <col collapsed="false" customWidth="true" hidden="false" outlineLevel="0" max="3087" min="3087" style="42" width="10"/>
    <col collapsed="false" customWidth="true" hidden="false" outlineLevel="0" max="3088" min="3088" style="42" width="11.43"/>
    <col collapsed="false" customWidth="true" hidden="false" outlineLevel="0" max="3089" min="3089" style="42" width="6.85"/>
    <col collapsed="false" customWidth="true" hidden="false" outlineLevel="0" max="3090" min="3090" style="42" width="16.29"/>
    <col collapsed="false" customWidth="false" hidden="false" outlineLevel="0" max="3327" min="3091" style="42" width="11.71"/>
    <col collapsed="false" customWidth="true" hidden="false" outlineLevel="0" max="3328" min="3328" style="42" width="12.71"/>
    <col collapsed="false" customWidth="true" hidden="false" outlineLevel="0" max="3329" min="3329" style="42" width="14.14"/>
    <col collapsed="false" customWidth="true" hidden="false" outlineLevel="0" max="3330" min="3330" style="42" width="22.57"/>
    <col collapsed="false" customWidth="true" hidden="false" outlineLevel="0" max="3331" min="3331" style="42" width="10"/>
    <col collapsed="false" customWidth="true" hidden="false" outlineLevel="0" max="3332" min="3332" style="42" width="12.86"/>
    <col collapsed="false" customWidth="true" hidden="false" outlineLevel="0" max="3333" min="3333" style="42" width="4"/>
    <col collapsed="false" customWidth="true" hidden="false" outlineLevel="0" max="3334" min="3334" style="42" width="17"/>
    <col collapsed="false" customWidth="true" hidden="false" outlineLevel="0" max="3335" min="3335" style="42" width="9.42"/>
    <col collapsed="false" customWidth="true" hidden="false" outlineLevel="0" max="3336" min="3336" style="42" width="11.43"/>
    <col collapsed="false" customWidth="true" hidden="false" outlineLevel="0" max="3337" min="3337" style="42" width="4.57"/>
    <col collapsed="false" customWidth="true" hidden="false" outlineLevel="0" max="3338" min="3338" style="42" width="17.15"/>
    <col collapsed="false" customWidth="true" hidden="false" outlineLevel="0" max="3339" min="3339" style="42" width="10"/>
    <col collapsed="false" customWidth="true" hidden="false" outlineLevel="0" max="3340" min="3340" style="42" width="11.43"/>
    <col collapsed="false" customWidth="true" hidden="false" outlineLevel="0" max="3341" min="3341" style="42" width="6.29"/>
    <col collapsed="false" customWidth="true" hidden="false" outlineLevel="0" max="3342" min="3342" style="42" width="24.29"/>
    <col collapsed="false" customWidth="true" hidden="false" outlineLevel="0" max="3343" min="3343" style="42" width="10"/>
    <col collapsed="false" customWidth="true" hidden="false" outlineLevel="0" max="3344" min="3344" style="42" width="11.43"/>
    <col collapsed="false" customWidth="true" hidden="false" outlineLevel="0" max="3345" min="3345" style="42" width="6.85"/>
    <col collapsed="false" customWidth="true" hidden="false" outlineLevel="0" max="3346" min="3346" style="42" width="16.29"/>
    <col collapsed="false" customWidth="false" hidden="false" outlineLevel="0" max="3583" min="3347" style="42" width="11.71"/>
    <col collapsed="false" customWidth="true" hidden="false" outlineLevel="0" max="3584" min="3584" style="42" width="12.71"/>
    <col collapsed="false" customWidth="true" hidden="false" outlineLevel="0" max="3585" min="3585" style="42" width="14.14"/>
    <col collapsed="false" customWidth="true" hidden="false" outlineLevel="0" max="3586" min="3586" style="42" width="22.57"/>
    <col collapsed="false" customWidth="true" hidden="false" outlineLevel="0" max="3587" min="3587" style="42" width="10"/>
    <col collapsed="false" customWidth="true" hidden="false" outlineLevel="0" max="3588" min="3588" style="42" width="12.86"/>
    <col collapsed="false" customWidth="true" hidden="false" outlineLevel="0" max="3589" min="3589" style="42" width="4"/>
    <col collapsed="false" customWidth="true" hidden="false" outlineLevel="0" max="3590" min="3590" style="42" width="17"/>
    <col collapsed="false" customWidth="true" hidden="false" outlineLevel="0" max="3591" min="3591" style="42" width="9.42"/>
    <col collapsed="false" customWidth="true" hidden="false" outlineLevel="0" max="3592" min="3592" style="42" width="11.43"/>
    <col collapsed="false" customWidth="true" hidden="false" outlineLevel="0" max="3593" min="3593" style="42" width="4.57"/>
    <col collapsed="false" customWidth="true" hidden="false" outlineLevel="0" max="3594" min="3594" style="42" width="17.15"/>
    <col collapsed="false" customWidth="true" hidden="false" outlineLevel="0" max="3595" min="3595" style="42" width="10"/>
    <col collapsed="false" customWidth="true" hidden="false" outlineLevel="0" max="3596" min="3596" style="42" width="11.43"/>
    <col collapsed="false" customWidth="true" hidden="false" outlineLevel="0" max="3597" min="3597" style="42" width="6.29"/>
    <col collapsed="false" customWidth="true" hidden="false" outlineLevel="0" max="3598" min="3598" style="42" width="24.29"/>
    <col collapsed="false" customWidth="true" hidden="false" outlineLevel="0" max="3599" min="3599" style="42" width="10"/>
    <col collapsed="false" customWidth="true" hidden="false" outlineLevel="0" max="3600" min="3600" style="42" width="11.43"/>
    <col collapsed="false" customWidth="true" hidden="false" outlineLevel="0" max="3601" min="3601" style="42" width="6.85"/>
    <col collapsed="false" customWidth="true" hidden="false" outlineLevel="0" max="3602" min="3602" style="42" width="16.29"/>
    <col collapsed="false" customWidth="false" hidden="false" outlineLevel="0" max="3839" min="3603" style="42" width="11.71"/>
    <col collapsed="false" customWidth="true" hidden="false" outlineLevel="0" max="3840" min="3840" style="42" width="12.71"/>
    <col collapsed="false" customWidth="true" hidden="false" outlineLevel="0" max="3841" min="3841" style="42" width="14.14"/>
    <col collapsed="false" customWidth="true" hidden="false" outlineLevel="0" max="3842" min="3842" style="42" width="22.57"/>
    <col collapsed="false" customWidth="true" hidden="false" outlineLevel="0" max="3843" min="3843" style="42" width="10"/>
    <col collapsed="false" customWidth="true" hidden="false" outlineLevel="0" max="3844" min="3844" style="42" width="12.86"/>
    <col collapsed="false" customWidth="true" hidden="false" outlineLevel="0" max="3845" min="3845" style="42" width="4"/>
    <col collapsed="false" customWidth="true" hidden="false" outlineLevel="0" max="3846" min="3846" style="42" width="17"/>
    <col collapsed="false" customWidth="true" hidden="false" outlineLevel="0" max="3847" min="3847" style="42" width="9.42"/>
    <col collapsed="false" customWidth="true" hidden="false" outlineLevel="0" max="3848" min="3848" style="42" width="11.43"/>
    <col collapsed="false" customWidth="true" hidden="false" outlineLevel="0" max="3849" min="3849" style="42" width="4.57"/>
    <col collapsed="false" customWidth="true" hidden="false" outlineLevel="0" max="3850" min="3850" style="42" width="17.15"/>
    <col collapsed="false" customWidth="true" hidden="false" outlineLevel="0" max="3851" min="3851" style="42" width="10"/>
    <col collapsed="false" customWidth="true" hidden="false" outlineLevel="0" max="3852" min="3852" style="42" width="11.43"/>
    <col collapsed="false" customWidth="true" hidden="false" outlineLevel="0" max="3853" min="3853" style="42" width="6.29"/>
    <col collapsed="false" customWidth="true" hidden="false" outlineLevel="0" max="3854" min="3854" style="42" width="24.29"/>
    <col collapsed="false" customWidth="true" hidden="false" outlineLevel="0" max="3855" min="3855" style="42" width="10"/>
    <col collapsed="false" customWidth="true" hidden="false" outlineLevel="0" max="3856" min="3856" style="42" width="11.43"/>
    <col collapsed="false" customWidth="true" hidden="false" outlineLevel="0" max="3857" min="3857" style="42" width="6.85"/>
    <col collapsed="false" customWidth="true" hidden="false" outlineLevel="0" max="3858" min="3858" style="42" width="16.29"/>
    <col collapsed="false" customWidth="false" hidden="false" outlineLevel="0" max="4095" min="3859" style="42" width="11.71"/>
    <col collapsed="false" customWidth="true" hidden="false" outlineLevel="0" max="4096" min="4096" style="42" width="12.71"/>
    <col collapsed="false" customWidth="true" hidden="false" outlineLevel="0" max="4097" min="4097" style="42" width="14.14"/>
    <col collapsed="false" customWidth="true" hidden="false" outlineLevel="0" max="4098" min="4098" style="42" width="22.57"/>
    <col collapsed="false" customWidth="true" hidden="false" outlineLevel="0" max="4099" min="4099" style="42" width="10"/>
    <col collapsed="false" customWidth="true" hidden="false" outlineLevel="0" max="4100" min="4100" style="42" width="12.86"/>
    <col collapsed="false" customWidth="true" hidden="false" outlineLevel="0" max="4101" min="4101" style="42" width="4"/>
    <col collapsed="false" customWidth="true" hidden="false" outlineLevel="0" max="4102" min="4102" style="42" width="17"/>
    <col collapsed="false" customWidth="true" hidden="false" outlineLevel="0" max="4103" min="4103" style="42" width="9.42"/>
    <col collapsed="false" customWidth="true" hidden="false" outlineLevel="0" max="4104" min="4104" style="42" width="11.43"/>
    <col collapsed="false" customWidth="true" hidden="false" outlineLevel="0" max="4105" min="4105" style="42" width="4.57"/>
    <col collapsed="false" customWidth="true" hidden="false" outlineLevel="0" max="4106" min="4106" style="42" width="17.15"/>
    <col collapsed="false" customWidth="true" hidden="false" outlineLevel="0" max="4107" min="4107" style="42" width="10"/>
    <col collapsed="false" customWidth="true" hidden="false" outlineLevel="0" max="4108" min="4108" style="42" width="11.43"/>
    <col collapsed="false" customWidth="true" hidden="false" outlineLevel="0" max="4109" min="4109" style="42" width="6.29"/>
    <col collapsed="false" customWidth="true" hidden="false" outlineLevel="0" max="4110" min="4110" style="42" width="24.29"/>
    <col collapsed="false" customWidth="true" hidden="false" outlineLevel="0" max="4111" min="4111" style="42" width="10"/>
    <col collapsed="false" customWidth="true" hidden="false" outlineLevel="0" max="4112" min="4112" style="42" width="11.43"/>
    <col collapsed="false" customWidth="true" hidden="false" outlineLevel="0" max="4113" min="4113" style="42" width="6.85"/>
    <col collapsed="false" customWidth="true" hidden="false" outlineLevel="0" max="4114" min="4114" style="42" width="16.29"/>
    <col collapsed="false" customWidth="false" hidden="false" outlineLevel="0" max="4351" min="4115" style="42" width="11.71"/>
    <col collapsed="false" customWidth="true" hidden="false" outlineLevel="0" max="4352" min="4352" style="42" width="12.71"/>
    <col collapsed="false" customWidth="true" hidden="false" outlineLevel="0" max="4353" min="4353" style="42" width="14.14"/>
    <col collapsed="false" customWidth="true" hidden="false" outlineLevel="0" max="4354" min="4354" style="42" width="22.57"/>
    <col collapsed="false" customWidth="true" hidden="false" outlineLevel="0" max="4355" min="4355" style="42" width="10"/>
    <col collapsed="false" customWidth="true" hidden="false" outlineLevel="0" max="4356" min="4356" style="42" width="12.86"/>
    <col collapsed="false" customWidth="true" hidden="false" outlineLevel="0" max="4357" min="4357" style="42" width="4"/>
    <col collapsed="false" customWidth="true" hidden="false" outlineLevel="0" max="4358" min="4358" style="42" width="17"/>
    <col collapsed="false" customWidth="true" hidden="false" outlineLevel="0" max="4359" min="4359" style="42" width="9.42"/>
    <col collapsed="false" customWidth="true" hidden="false" outlineLevel="0" max="4360" min="4360" style="42" width="11.43"/>
    <col collapsed="false" customWidth="true" hidden="false" outlineLevel="0" max="4361" min="4361" style="42" width="4.57"/>
    <col collapsed="false" customWidth="true" hidden="false" outlineLevel="0" max="4362" min="4362" style="42" width="17.15"/>
    <col collapsed="false" customWidth="true" hidden="false" outlineLevel="0" max="4363" min="4363" style="42" width="10"/>
    <col collapsed="false" customWidth="true" hidden="false" outlineLevel="0" max="4364" min="4364" style="42" width="11.43"/>
    <col collapsed="false" customWidth="true" hidden="false" outlineLevel="0" max="4365" min="4365" style="42" width="6.29"/>
    <col collapsed="false" customWidth="true" hidden="false" outlineLevel="0" max="4366" min="4366" style="42" width="24.29"/>
    <col collapsed="false" customWidth="true" hidden="false" outlineLevel="0" max="4367" min="4367" style="42" width="10"/>
    <col collapsed="false" customWidth="true" hidden="false" outlineLevel="0" max="4368" min="4368" style="42" width="11.43"/>
    <col collapsed="false" customWidth="true" hidden="false" outlineLevel="0" max="4369" min="4369" style="42" width="6.85"/>
    <col collapsed="false" customWidth="true" hidden="false" outlineLevel="0" max="4370" min="4370" style="42" width="16.29"/>
    <col collapsed="false" customWidth="false" hidden="false" outlineLevel="0" max="4607" min="4371" style="42" width="11.71"/>
    <col collapsed="false" customWidth="true" hidden="false" outlineLevel="0" max="4608" min="4608" style="42" width="12.71"/>
    <col collapsed="false" customWidth="true" hidden="false" outlineLevel="0" max="4609" min="4609" style="42" width="14.14"/>
    <col collapsed="false" customWidth="true" hidden="false" outlineLevel="0" max="4610" min="4610" style="42" width="22.57"/>
    <col collapsed="false" customWidth="true" hidden="false" outlineLevel="0" max="4611" min="4611" style="42" width="10"/>
    <col collapsed="false" customWidth="true" hidden="false" outlineLevel="0" max="4612" min="4612" style="42" width="12.86"/>
    <col collapsed="false" customWidth="true" hidden="false" outlineLevel="0" max="4613" min="4613" style="42" width="4"/>
    <col collapsed="false" customWidth="true" hidden="false" outlineLevel="0" max="4614" min="4614" style="42" width="17"/>
    <col collapsed="false" customWidth="true" hidden="false" outlineLevel="0" max="4615" min="4615" style="42" width="9.42"/>
    <col collapsed="false" customWidth="true" hidden="false" outlineLevel="0" max="4616" min="4616" style="42" width="11.43"/>
    <col collapsed="false" customWidth="true" hidden="false" outlineLevel="0" max="4617" min="4617" style="42" width="4.57"/>
    <col collapsed="false" customWidth="true" hidden="false" outlineLevel="0" max="4618" min="4618" style="42" width="17.15"/>
    <col collapsed="false" customWidth="true" hidden="false" outlineLevel="0" max="4619" min="4619" style="42" width="10"/>
    <col collapsed="false" customWidth="true" hidden="false" outlineLevel="0" max="4620" min="4620" style="42" width="11.43"/>
    <col collapsed="false" customWidth="true" hidden="false" outlineLevel="0" max="4621" min="4621" style="42" width="6.29"/>
    <col collapsed="false" customWidth="true" hidden="false" outlineLevel="0" max="4622" min="4622" style="42" width="24.29"/>
    <col collapsed="false" customWidth="true" hidden="false" outlineLevel="0" max="4623" min="4623" style="42" width="10"/>
    <col collapsed="false" customWidth="true" hidden="false" outlineLevel="0" max="4624" min="4624" style="42" width="11.43"/>
    <col collapsed="false" customWidth="true" hidden="false" outlineLevel="0" max="4625" min="4625" style="42" width="6.85"/>
    <col collapsed="false" customWidth="true" hidden="false" outlineLevel="0" max="4626" min="4626" style="42" width="16.29"/>
    <col collapsed="false" customWidth="false" hidden="false" outlineLevel="0" max="4863" min="4627" style="42" width="11.71"/>
    <col collapsed="false" customWidth="true" hidden="false" outlineLevel="0" max="4864" min="4864" style="42" width="12.71"/>
    <col collapsed="false" customWidth="true" hidden="false" outlineLevel="0" max="4865" min="4865" style="42" width="14.14"/>
    <col collapsed="false" customWidth="true" hidden="false" outlineLevel="0" max="4866" min="4866" style="42" width="22.57"/>
    <col collapsed="false" customWidth="true" hidden="false" outlineLevel="0" max="4867" min="4867" style="42" width="10"/>
    <col collapsed="false" customWidth="true" hidden="false" outlineLevel="0" max="4868" min="4868" style="42" width="12.86"/>
    <col collapsed="false" customWidth="true" hidden="false" outlineLevel="0" max="4869" min="4869" style="42" width="4"/>
    <col collapsed="false" customWidth="true" hidden="false" outlineLevel="0" max="4870" min="4870" style="42" width="17"/>
    <col collapsed="false" customWidth="true" hidden="false" outlineLevel="0" max="4871" min="4871" style="42" width="9.42"/>
    <col collapsed="false" customWidth="true" hidden="false" outlineLevel="0" max="4872" min="4872" style="42" width="11.43"/>
    <col collapsed="false" customWidth="true" hidden="false" outlineLevel="0" max="4873" min="4873" style="42" width="4.57"/>
    <col collapsed="false" customWidth="true" hidden="false" outlineLevel="0" max="4874" min="4874" style="42" width="17.15"/>
    <col collapsed="false" customWidth="true" hidden="false" outlineLevel="0" max="4875" min="4875" style="42" width="10"/>
    <col collapsed="false" customWidth="true" hidden="false" outlineLevel="0" max="4876" min="4876" style="42" width="11.43"/>
    <col collapsed="false" customWidth="true" hidden="false" outlineLevel="0" max="4877" min="4877" style="42" width="6.29"/>
    <col collapsed="false" customWidth="true" hidden="false" outlineLevel="0" max="4878" min="4878" style="42" width="24.29"/>
    <col collapsed="false" customWidth="true" hidden="false" outlineLevel="0" max="4879" min="4879" style="42" width="10"/>
    <col collapsed="false" customWidth="true" hidden="false" outlineLevel="0" max="4880" min="4880" style="42" width="11.43"/>
    <col collapsed="false" customWidth="true" hidden="false" outlineLevel="0" max="4881" min="4881" style="42" width="6.85"/>
    <col collapsed="false" customWidth="true" hidden="false" outlineLevel="0" max="4882" min="4882" style="42" width="16.29"/>
    <col collapsed="false" customWidth="false" hidden="false" outlineLevel="0" max="5119" min="4883" style="42" width="11.71"/>
    <col collapsed="false" customWidth="true" hidden="false" outlineLevel="0" max="5120" min="5120" style="42" width="12.71"/>
    <col collapsed="false" customWidth="true" hidden="false" outlineLevel="0" max="5121" min="5121" style="42" width="14.14"/>
    <col collapsed="false" customWidth="true" hidden="false" outlineLevel="0" max="5122" min="5122" style="42" width="22.57"/>
    <col collapsed="false" customWidth="true" hidden="false" outlineLevel="0" max="5123" min="5123" style="42" width="10"/>
    <col collapsed="false" customWidth="true" hidden="false" outlineLevel="0" max="5124" min="5124" style="42" width="12.86"/>
    <col collapsed="false" customWidth="true" hidden="false" outlineLevel="0" max="5125" min="5125" style="42" width="4"/>
    <col collapsed="false" customWidth="true" hidden="false" outlineLevel="0" max="5126" min="5126" style="42" width="17"/>
    <col collapsed="false" customWidth="true" hidden="false" outlineLevel="0" max="5127" min="5127" style="42" width="9.42"/>
    <col collapsed="false" customWidth="true" hidden="false" outlineLevel="0" max="5128" min="5128" style="42" width="11.43"/>
    <col collapsed="false" customWidth="true" hidden="false" outlineLevel="0" max="5129" min="5129" style="42" width="4.57"/>
    <col collapsed="false" customWidth="true" hidden="false" outlineLevel="0" max="5130" min="5130" style="42" width="17.15"/>
    <col collapsed="false" customWidth="true" hidden="false" outlineLevel="0" max="5131" min="5131" style="42" width="10"/>
    <col collapsed="false" customWidth="true" hidden="false" outlineLevel="0" max="5132" min="5132" style="42" width="11.43"/>
    <col collapsed="false" customWidth="true" hidden="false" outlineLevel="0" max="5133" min="5133" style="42" width="6.29"/>
    <col collapsed="false" customWidth="true" hidden="false" outlineLevel="0" max="5134" min="5134" style="42" width="24.29"/>
    <col collapsed="false" customWidth="true" hidden="false" outlineLevel="0" max="5135" min="5135" style="42" width="10"/>
    <col collapsed="false" customWidth="true" hidden="false" outlineLevel="0" max="5136" min="5136" style="42" width="11.43"/>
    <col collapsed="false" customWidth="true" hidden="false" outlineLevel="0" max="5137" min="5137" style="42" width="6.85"/>
    <col collapsed="false" customWidth="true" hidden="false" outlineLevel="0" max="5138" min="5138" style="42" width="16.29"/>
    <col collapsed="false" customWidth="false" hidden="false" outlineLevel="0" max="5375" min="5139" style="42" width="11.71"/>
    <col collapsed="false" customWidth="true" hidden="false" outlineLevel="0" max="5376" min="5376" style="42" width="12.71"/>
    <col collapsed="false" customWidth="true" hidden="false" outlineLevel="0" max="5377" min="5377" style="42" width="14.14"/>
    <col collapsed="false" customWidth="true" hidden="false" outlineLevel="0" max="5378" min="5378" style="42" width="22.57"/>
    <col collapsed="false" customWidth="true" hidden="false" outlineLevel="0" max="5379" min="5379" style="42" width="10"/>
    <col collapsed="false" customWidth="true" hidden="false" outlineLevel="0" max="5380" min="5380" style="42" width="12.86"/>
    <col collapsed="false" customWidth="true" hidden="false" outlineLevel="0" max="5381" min="5381" style="42" width="4"/>
    <col collapsed="false" customWidth="true" hidden="false" outlineLevel="0" max="5382" min="5382" style="42" width="17"/>
    <col collapsed="false" customWidth="true" hidden="false" outlineLevel="0" max="5383" min="5383" style="42" width="9.42"/>
    <col collapsed="false" customWidth="true" hidden="false" outlineLevel="0" max="5384" min="5384" style="42" width="11.43"/>
    <col collapsed="false" customWidth="true" hidden="false" outlineLevel="0" max="5385" min="5385" style="42" width="4.57"/>
    <col collapsed="false" customWidth="true" hidden="false" outlineLevel="0" max="5386" min="5386" style="42" width="17.15"/>
    <col collapsed="false" customWidth="true" hidden="false" outlineLevel="0" max="5387" min="5387" style="42" width="10"/>
    <col collapsed="false" customWidth="true" hidden="false" outlineLevel="0" max="5388" min="5388" style="42" width="11.43"/>
    <col collapsed="false" customWidth="true" hidden="false" outlineLevel="0" max="5389" min="5389" style="42" width="6.29"/>
    <col collapsed="false" customWidth="true" hidden="false" outlineLevel="0" max="5390" min="5390" style="42" width="24.29"/>
    <col collapsed="false" customWidth="true" hidden="false" outlineLevel="0" max="5391" min="5391" style="42" width="10"/>
    <col collapsed="false" customWidth="true" hidden="false" outlineLevel="0" max="5392" min="5392" style="42" width="11.43"/>
    <col collapsed="false" customWidth="true" hidden="false" outlineLevel="0" max="5393" min="5393" style="42" width="6.85"/>
    <col collapsed="false" customWidth="true" hidden="false" outlineLevel="0" max="5394" min="5394" style="42" width="16.29"/>
    <col collapsed="false" customWidth="false" hidden="false" outlineLevel="0" max="5631" min="5395" style="42" width="11.71"/>
    <col collapsed="false" customWidth="true" hidden="false" outlineLevel="0" max="5632" min="5632" style="42" width="12.71"/>
    <col collapsed="false" customWidth="true" hidden="false" outlineLevel="0" max="5633" min="5633" style="42" width="14.14"/>
    <col collapsed="false" customWidth="true" hidden="false" outlineLevel="0" max="5634" min="5634" style="42" width="22.57"/>
    <col collapsed="false" customWidth="true" hidden="false" outlineLevel="0" max="5635" min="5635" style="42" width="10"/>
    <col collapsed="false" customWidth="true" hidden="false" outlineLevel="0" max="5636" min="5636" style="42" width="12.86"/>
    <col collapsed="false" customWidth="true" hidden="false" outlineLevel="0" max="5637" min="5637" style="42" width="4"/>
    <col collapsed="false" customWidth="true" hidden="false" outlineLevel="0" max="5638" min="5638" style="42" width="17"/>
    <col collapsed="false" customWidth="true" hidden="false" outlineLevel="0" max="5639" min="5639" style="42" width="9.42"/>
    <col collapsed="false" customWidth="true" hidden="false" outlineLevel="0" max="5640" min="5640" style="42" width="11.43"/>
    <col collapsed="false" customWidth="true" hidden="false" outlineLevel="0" max="5641" min="5641" style="42" width="4.57"/>
    <col collapsed="false" customWidth="true" hidden="false" outlineLevel="0" max="5642" min="5642" style="42" width="17.15"/>
    <col collapsed="false" customWidth="true" hidden="false" outlineLevel="0" max="5643" min="5643" style="42" width="10"/>
    <col collapsed="false" customWidth="true" hidden="false" outlineLevel="0" max="5644" min="5644" style="42" width="11.43"/>
    <col collapsed="false" customWidth="true" hidden="false" outlineLevel="0" max="5645" min="5645" style="42" width="6.29"/>
    <col collapsed="false" customWidth="true" hidden="false" outlineLevel="0" max="5646" min="5646" style="42" width="24.29"/>
    <col collapsed="false" customWidth="true" hidden="false" outlineLevel="0" max="5647" min="5647" style="42" width="10"/>
    <col collapsed="false" customWidth="true" hidden="false" outlineLevel="0" max="5648" min="5648" style="42" width="11.43"/>
    <col collapsed="false" customWidth="true" hidden="false" outlineLevel="0" max="5649" min="5649" style="42" width="6.85"/>
    <col collapsed="false" customWidth="true" hidden="false" outlineLevel="0" max="5650" min="5650" style="42" width="16.29"/>
    <col collapsed="false" customWidth="false" hidden="false" outlineLevel="0" max="5887" min="5651" style="42" width="11.71"/>
    <col collapsed="false" customWidth="true" hidden="false" outlineLevel="0" max="5888" min="5888" style="42" width="12.71"/>
    <col collapsed="false" customWidth="true" hidden="false" outlineLevel="0" max="5889" min="5889" style="42" width="14.14"/>
    <col collapsed="false" customWidth="true" hidden="false" outlineLevel="0" max="5890" min="5890" style="42" width="22.57"/>
    <col collapsed="false" customWidth="true" hidden="false" outlineLevel="0" max="5891" min="5891" style="42" width="10"/>
    <col collapsed="false" customWidth="true" hidden="false" outlineLevel="0" max="5892" min="5892" style="42" width="12.86"/>
    <col collapsed="false" customWidth="true" hidden="false" outlineLevel="0" max="5893" min="5893" style="42" width="4"/>
    <col collapsed="false" customWidth="true" hidden="false" outlineLevel="0" max="5894" min="5894" style="42" width="17"/>
    <col collapsed="false" customWidth="true" hidden="false" outlineLevel="0" max="5895" min="5895" style="42" width="9.42"/>
    <col collapsed="false" customWidth="true" hidden="false" outlineLevel="0" max="5896" min="5896" style="42" width="11.43"/>
    <col collapsed="false" customWidth="true" hidden="false" outlineLevel="0" max="5897" min="5897" style="42" width="4.57"/>
    <col collapsed="false" customWidth="true" hidden="false" outlineLevel="0" max="5898" min="5898" style="42" width="17.15"/>
    <col collapsed="false" customWidth="true" hidden="false" outlineLevel="0" max="5899" min="5899" style="42" width="10"/>
    <col collapsed="false" customWidth="true" hidden="false" outlineLevel="0" max="5900" min="5900" style="42" width="11.43"/>
    <col collapsed="false" customWidth="true" hidden="false" outlineLevel="0" max="5901" min="5901" style="42" width="6.29"/>
    <col collapsed="false" customWidth="true" hidden="false" outlineLevel="0" max="5902" min="5902" style="42" width="24.29"/>
    <col collapsed="false" customWidth="true" hidden="false" outlineLevel="0" max="5903" min="5903" style="42" width="10"/>
    <col collapsed="false" customWidth="true" hidden="false" outlineLevel="0" max="5904" min="5904" style="42" width="11.43"/>
    <col collapsed="false" customWidth="true" hidden="false" outlineLevel="0" max="5905" min="5905" style="42" width="6.85"/>
    <col collapsed="false" customWidth="true" hidden="false" outlineLevel="0" max="5906" min="5906" style="42" width="16.29"/>
    <col collapsed="false" customWidth="false" hidden="false" outlineLevel="0" max="6143" min="5907" style="42" width="11.71"/>
    <col collapsed="false" customWidth="true" hidden="false" outlineLevel="0" max="6144" min="6144" style="42" width="12.71"/>
    <col collapsed="false" customWidth="true" hidden="false" outlineLevel="0" max="6145" min="6145" style="42" width="14.14"/>
    <col collapsed="false" customWidth="true" hidden="false" outlineLevel="0" max="6146" min="6146" style="42" width="22.57"/>
    <col collapsed="false" customWidth="true" hidden="false" outlineLevel="0" max="6147" min="6147" style="42" width="10"/>
    <col collapsed="false" customWidth="true" hidden="false" outlineLevel="0" max="6148" min="6148" style="42" width="12.86"/>
    <col collapsed="false" customWidth="true" hidden="false" outlineLevel="0" max="6149" min="6149" style="42" width="4"/>
    <col collapsed="false" customWidth="true" hidden="false" outlineLevel="0" max="6150" min="6150" style="42" width="17"/>
    <col collapsed="false" customWidth="true" hidden="false" outlineLevel="0" max="6151" min="6151" style="42" width="9.42"/>
    <col collapsed="false" customWidth="true" hidden="false" outlineLevel="0" max="6152" min="6152" style="42" width="11.43"/>
    <col collapsed="false" customWidth="true" hidden="false" outlineLevel="0" max="6153" min="6153" style="42" width="4.57"/>
    <col collapsed="false" customWidth="true" hidden="false" outlineLevel="0" max="6154" min="6154" style="42" width="17.15"/>
    <col collapsed="false" customWidth="true" hidden="false" outlineLevel="0" max="6155" min="6155" style="42" width="10"/>
    <col collapsed="false" customWidth="true" hidden="false" outlineLevel="0" max="6156" min="6156" style="42" width="11.43"/>
    <col collapsed="false" customWidth="true" hidden="false" outlineLevel="0" max="6157" min="6157" style="42" width="6.29"/>
    <col collapsed="false" customWidth="true" hidden="false" outlineLevel="0" max="6158" min="6158" style="42" width="24.29"/>
    <col collapsed="false" customWidth="true" hidden="false" outlineLevel="0" max="6159" min="6159" style="42" width="10"/>
    <col collapsed="false" customWidth="true" hidden="false" outlineLevel="0" max="6160" min="6160" style="42" width="11.43"/>
    <col collapsed="false" customWidth="true" hidden="false" outlineLevel="0" max="6161" min="6161" style="42" width="6.85"/>
    <col collapsed="false" customWidth="true" hidden="false" outlineLevel="0" max="6162" min="6162" style="42" width="16.29"/>
    <col collapsed="false" customWidth="false" hidden="false" outlineLevel="0" max="6399" min="6163" style="42" width="11.71"/>
    <col collapsed="false" customWidth="true" hidden="false" outlineLevel="0" max="6400" min="6400" style="42" width="12.71"/>
    <col collapsed="false" customWidth="true" hidden="false" outlineLevel="0" max="6401" min="6401" style="42" width="14.14"/>
    <col collapsed="false" customWidth="true" hidden="false" outlineLevel="0" max="6402" min="6402" style="42" width="22.57"/>
    <col collapsed="false" customWidth="true" hidden="false" outlineLevel="0" max="6403" min="6403" style="42" width="10"/>
    <col collapsed="false" customWidth="true" hidden="false" outlineLevel="0" max="6404" min="6404" style="42" width="12.86"/>
    <col collapsed="false" customWidth="true" hidden="false" outlineLevel="0" max="6405" min="6405" style="42" width="4"/>
    <col collapsed="false" customWidth="true" hidden="false" outlineLevel="0" max="6406" min="6406" style="42" width="17"/>
    <col collapsed="false" customWidth="true" hidden="false" outlineLevel="0" max="6407" min="6407" style="42" width="9.42"/>
    <col collapsed="false" customWidth="true" hidden="false" outlineLevel="0" max="6408" min="6408" style="42" width="11.43"/>
    <col collapsed="false" customWidth="true" hidden="false" outlineLevel="0" max="6409" min="6409" style="42" width="4.57"/>
    <col collapsed="false" customWidth="true" hidden="false" outlineLevel="0" max="6410" min="6410" style="42" width="17.15"/>
    <col collapsed="false" customWidth="true" hidden="false" outlineLevel="0" max="6411" min="6411" style="42" width="10"/>
    <col collapsed="false" customWidth="true" hidden="false" outlineLevel="0" max="6412" min="6412" style="42" width="11.43"/>
    <col collapsed="false" customWidth="true" hidden="false" outlineLevel="0" max="6413" min="6413" style="42" width="6.29"/>
    <col collapsed="false" customWidth="true" hidden="false" outlineLevel="0" max="6414" min="6414" style="42" width="24.29"/>
    <col collapsed="false" customWidth="true" hidden="false" outlineLevel="0" max="6415" min="6415" style="42" width="10"/>
    <col collapsed="false" customWidth="true" hidden="false" outlineLevel="0" max="6416" min="6416" style="42" width="11.43"/>
    <col collapsed="false" customWidth="true" hidden="false" outlineLevel="0" max="6417" min="6417" style="42" width="6.85"/>
    <col collapsed="false" customWidth="true" hidden="false" outlineLevel="0" max="6418" min="6418" style="42" width="16.29"/>
    <col collapsed="false" customWidth="false" hidden="false" outlineLevel="0" max="6655" min="6419" style="42" width="11.71"/>
    <col collapsed="false" customWidth="true" hidden="false" outlineLevel="0" max="6656" min="6656" style="42" width="12.71"/>
    <col collapsed="false" customWidth="true" hidden="false" outlineLevel="0" max="6657" min="6657" style="42" width="14.14"/>
    <col collapsed="false" customWidth="true" hidden="false" outlineLevel="0" max="6658" min="6658" style="42" width="22.57"/>
    <col collapsed="false" customWidth="true" hidden="false" outlineLevel="0" max="6659" min="6659" style="42" width="10"/>
    <col collapsed="false" customWidth="true" hidden="false" outlineLevel="0" max="6660" min="6660" style="42" width="12.86"/>
    <col collapsed="false" customWidth="true" hidden="false" outlineLevel="0" max="6661" min="6661" style="42" width="4"/>
    <col collapsed="false" customWidth="true" hidden="false" outlineLevel="0" max="6662" min="6662" style="42" width="17"/>
    <col collapsed="false" customWidth="true" hidden="false" outlineLevel="0" max="6663" min="6663" style="42" width="9.42"/>
    <col collapsed="false" customWidth="true" hidden="false" outlineLevel="0" max="6664" min="6664" style="42" width="11.43"/>
    <col collapsed="false" customWidth="true" hidden="false" outlineLevel="0" max="6665" min="6665" style="42" width="4.57"/>
    <col collapsed="false" customWidth="true" hidden="false" outlineLevel="0" max="6666" min="6666" style="42" width="17.15"/>
    <col collapsed="false" customWidth="true" hidden="false" outlineLevel="0" max="6667" min="6667" style="42" width="10"/>
    <col collapsed="false" customWidth="true" hidden="false" outlineLevel="0" max="6668" min="6668" style="42" width="11.43"/>
    <col collapsed="false" customWidth="true" hidden="false" outlineLevel="0" max="6669" min="6669" style="42" width="6.29"/>
    <col collapsed="false" customWidth="true" hidden="false" outlineLevel="0" max="6670" min="6670" style="42" width="24.29"/>
    <col collapsed="false" customWidth="true" hidden="false" outlineLevel="0" max="6671" min="6671" style="42" width="10"/>
    <col collapsed="false" customWidth="true" hidden="false" outlineLevel="0" max="6672" min="6672" style="42" width="11.43"/>
    <col collapsed="false" customWidth="true" hidden="false" outlineLevel="0" max="6673" min="6673" style="42" width="6.85"/>
    <col collapsed="false" customWidth="true" hidden="false" outlineLevel="0" max="6674" min="6674" style="42" width="16.29"/>
    <col collapsed="false" customWidth="false" hidden="false" outlineLevel="0" max="6911" min="6675" style="42" width="11.71"/>
    <col collapsed="false" customWidth="true" hidden="false" outlineLevel="0" max="6912" min="6912" style="42" width="12.71"/>
    <col collapsed="false" customWidth="true" hidden="false" outlineLevel="0" max="6913" min="6913" style="42" width="14.14"/>
    <col collapsed="false" customWidth="true" hidden="false" outlineLevel="0" max="6914" min="6914" style="42" width="22.57"/>
    <col collapsed="false" customWidth="true" hidden="false" outlineLevel="0" max="6915" min="6915" style="42" width="10"/>
    <col collapsed="false" customWidth="true" hidden="false" outlineLevel="0" max="6916" min="6916" style="42" width="12.86"/>
    <col collapsed="false" customWidth="true" hidden="false" outlineLevel="0" max="6917" min="6917" style="42" width="4"/>
    <col collapsed="false" customWidth="true" hidden="false" outlineLevel="0" max="6918" min="6918" style="42" width="17"/>
    <col collapsed="false" customWidth="true" hidden="false" outlineLevel="0" max="6919" min="6919" style="42" width="9.42"/>
    <col collapsed="false" customWidth="true" hidden="false" outlineLevel="0" max="6920" min="6920" style="42" width="11.43"/>
    <col collapsed="false" customWidth="true" hidden="false" outlineLevel="0" max="6921" min="6921" style="42" width="4.57"/>
    <col collapsed="false" customWidth="true" hidden="false" outlineLevel="0" max="6922" min="6922" style="42" width="17.15"/>
    <col collapsed="false" customWidth="true" hidden="false" outlineLevel="0" max="6923" min="6923" style="42" width="10"/>
    <col collapsed="false" customWidth="true" hidden="false" outlineLevel="0" max="6924" min="6924" style="42" width="11.43"/>
    <col collapsed="false" customWidth="true" hidden="false" outlineLevel="0" max="6925" min="6925" style="42" width="6.29"/>
    <col collapsed="false" customWidth="true" hidden="false" outlineLevel="0" max="6926" min="6926" style="42" width="24.29"/>
    <col collapsed="false" customWidth="true" hidden="false" outlineLevel="0" max="6927" min="6927" style="42" width="10"/>
    <col collapsed="false" customWidth="true" hidden="false" outlineLevel="0" max="6928" min="6928" style="42" width="11.43"/>
    <col collapsed="false" customWidth="true" hidden="false" outlineLevel="0" max="6929" min="6929" style="42" width="6.85"/>
    <col collapsed="false" customWidth="true" hidden="false" outlineLevel="0" max="6930" min="6930" style="42" width="16.29"/>
    <col collapsed="false" customWidth="false" hidden="false" outlineLevel="0" max="7167" min="6931" style="42" width="11.71"/>
    <col collapsed="false" customWidth="true" hidden="false" outlineLevel="0" max="7168" min="7168" style="42" width="12.71"/>
    <col collapsed="false" customWidth="true" hidden="false" outlineLevel="0" max="7169" min="7169" style="42" width="14.14"/>
    <col collapsed="false" customWidth="true" hidden="false" outlineLevel="0" max="7170" min="7170" style="42" width="22.57"/>
    <col collapsed="false" customWidth="true" hidden="false" outlineLevel="0" max="7171" min="7171" style="42" width="10"/>
    <col collapsed="false" customWidth="true" hidden="false" outlineLevel="0" max="7172" min="7172" style="42" width="12.86"/>
    <col collapsed="false" customWidth="true" hidden="false" outlineLevel="0" max="7173" min="7173" style="42" width="4"/>
    <col collapsed="false" customWidth="true" hidden="false" outlineLevel="0" max="7174" min="7174" style="42" width="17"/>
    <col collapsed="false" customWidth="true" hidden="false" outlineLevel="0" max="7175" min="7175" style="42" width="9.42"/>
    <col collapsed="false" customWidth="true" hidden="false" outlineLevel="0" max="7176" min="7176" style="42" width="11.43"/>
    <col collapsed="false" customWidth="true" hidden="false" outlineLevel="0" max="7177" min="7177" style="42" width="4.57"/>
    <col collapsed="false" customWidth="true" hidden="false" outlineLevel="0" max="7178" min="7178" style="42" width="17.15"/>
    <col collapsed="false" customWidth="true" hidden="false" outlineLevel="0" max="7179" min="7179" style="42" width="10"/>
    <col collapsed="false" customWidth="true" hidden="false" outlineLevel="0" max="7180" min="7180" style="42" width="11.43"/>
    <col collapsed="false" customWidth="true" hidden="false" outlineLevel="0" max="7181" min="7181" style="42" width="6.29"/>
    <col collapsed="false" customWidth="true" hidden="false" outlineLevel="0" max="7182" min="7182" style="42" width="24.29"/>
    <col collapsed="false" customWidth="true" hidden="false" outlineLevel="0" max="7183" min="7183" style="42" width="10"/>
    <col collapsed="false" customWidth="true" hidden="false" outlineLevel="0" max="7184" min="7184" style="42" width="11.43"/>
    <col collapsed="false" customWidth="true" hidden="false" outlineLevel="0" max="7185" min="7185" style="42" width="6.85"/>
    <col collapsed="false" customWidth="true" hidden="false" outlineLevel="0" max="7186" min="7186" style="42" width="16.29"/>
    <col collapsed="false" customWidth="false" hidden="false" outlineLevel="0" max="7423" min="7187" style="42" width="11.71"/>
    <col collapsed="false" customWidth="true" hidden="false" outlineLevel="0" max="7424" min="7424" style="42" width="12.71"/>
    <col collapsed="false" customWidth="true" hidden="false" outlineLevel="0" max="7425" min="7425" style="42" width="14.14"/>
    <col collapsed="false" customWidth="true" hidden="false" outlineLevel="0" max="7426" min="7426" style="42" width="22.57"/>
    <col collapsed="false" customWidth="true" hidden="false" outlineLevel="0" max="7427" min="7427" style="42" width="10"/>
    <col collapsed="false" customWidth="true" hidden="false" outlineLevel="0" max="7428" min="7428" style="42" width="12.86"/>
    <col collapsed="false" customWidth="true" hidden="false" outlineLevel="0" max="7429" min="7429" style="42" width="4"/>
    <col collapsed="false" customWidth="true" hidden="false" outlineLevel="0" max="7430" min="7430" style="42" width="17"/>
    <col collapsed="false" customWidth="true" hidden="false" outlineLevel="0" max="7431" min="7431" style="42" width="9.42"/>
    <col collapsed="false" customWidth="true" hidden="false" outlineLevel="0" max="7432" min="7432" style="42" width="11.43"/>
    <col collapsed="false" customWidth="true" hidden="false" outlineLevel="0" max="7433" min="7433" style="42" width="4.57"/>
    <col collapsed="false" customWidth="true" hidden="false" outlineLevel="0" max="7434" min="7434" style="42" width="17.15"/>
    <col collapsed="false" customWidth="true" hidden="false" outlineLevel="0" max="7435" min="7435" style="42" width="10"/>
    <col collapsed="false" customWidth="true" hidden="false" outlineLevel="0" max="7436" min="7436" style="42" width="11.43"/>
    <col collapsed="false" customWidth="true" hidden="false" outlineLevel="0" max="7437" min="7437" style="42" width="6.29"/>
    <col collapsed="false" customWidth="true" hidden="false" outlineLevel="0" max="7438" min="7438" style="42" width="24.29"/>
    <col collapsed="false" customWidth="true" hidden="false" outlineLevel="0" max="7439" min="7439" style="42" width="10"/>
    <col collapsed="false" customWidth="true" hidden="false" outlineLevel="0" max="7440" min="7440" style="42" width="11.43"/>
    <col collapsed="false" customWidth="true" hidden="false" outlineLevel="0" max="7441" min="7441" style="42" width="6.85"/>
    <col collapsed="false" customWidth="true" hidden="false" outlineLevel="0" max="7442" min="7442" style="42" width="16.29"/>
    <col collapsed="false" customWidth="false" hidden="false" outlineLevel="0" max="7679" min="7443" style="42" width="11.71"/>
    <col collapsed="false" customWidth="true" hidden="false" outlineLevel="0" max="7680" min="7680" style="42" width="12.71"/>
    <col collapsed="false" customWidth="true" hidden="false" outlineLevel="0" max="7681" min="7681" style="42" width="14.14"/>
    <col collapsed="false" customWidth="true" hidden="false" outlineLevel="0" max="7682" min="7682" style="42" width="22.57"/>
    <col collapsed="false" customWidth="true" hidden="false" outlineLevel="0" max="7683" min="7683" style="42" width="10"/>
    <col collapsed="false" customWidth="true" hidden="false" outlineLevel="0" max="7684" min="7684" style="42" width="12.86"/>
    <col collapsed="false" customWidth="true" hidden="false" outlineLevel="0" max="7685" min="7685" style="42" width="4"/>
    <col collapsed="false" customWidth="true" hidden="false" outlineLevel="0" max="7686" min="7686" style="42" width="17"/>
    <col collapsed="false" customWidth="true" hidden="false" outlineLevel="0" max="7687" min="7687" style="42" width="9.42"/>
    <col collapsed="false" customWidth="true" hidden="false" outlineLevel="0" max="7688" min="7688" style="42" width="11.43"/>
    <col collapsed="false" customWidth="true" hidden="false" outlineLevel="0" max="7689" min="7689" style="42" width="4.57"/>
    <col collapsed="false" customWidth="true" hidden="false" outlineLevel="0" max="7690" min="7690" style="42" width="17.15"/>
    <col collapsed="false" customWidth="true" hidden="false" outlineLevel="0" max="7691" min="7691" style="42" width="10"/>
    <col collapsed="false" customWidth="true" hidden="false" outlineLevel="0" max="7692" min="7692" style="42" width="11.43"/>
    <col collapsed="false" customWidth="true" hidden="false" outlineLevel="0" max="7693" min="7693" style="42" width="6.29"/>
    <col collapsed="false" customWidth="true" hidden="false" outlineLevel="0" max="7694" min="7694" style="42" width="24.29"/>
    <col collapsed="false" customWidth="true" hidden="false" outlineLevel="0" max="7695" min="7695" style="42" width="10"/>
    <col collapsed="false" customWidth="true" hidden="false" outlineLevel="0" max="7696" min="7696" style="42" width="11.43"/>
    <col collapsed="false" customWidth="true" hidden="false" outlineLevel="0" max="7697" min="7697" style="42" width="6.85"/>
    <col collapsed="false" customWidth="true" hidden="false" outlineLevel="0" max="7698" min="7698" style="42" width="16.29"/>
    <col collapsed="false" customWidth="false" hidden="false" outlineLevel="0" max="7935" min="7699" style="42" width="11.71"/>
    <col collapsed="false" customWidth="true" hidden="false" outlineLevel="0" max="7936" min="7936" style="42" width="12.71"/>
    <col collapsed="false" customWidth="true" hidden="false" outlineLevel="0" max="7937" min="7937" style="42" width="14.14"/>
    <col collapsed="false" customWidth="true" hidden="false" outlineLevel="0" max="7938" min="7938" style="42" width="22.57"/>
    <col collapsed="false" customWidth="true" hidden="false" outlineLevel="0" max="7939" min="7939" style="42" width="10"/>
    <col collapsed="false" customWidth="true" hidden="false" outlineLevel="0" max="7940" min="7940" style="42" width="12.86"/>
    <col collapsed="false" customWidth="true" hidden="false" outlineLevel="0" max="7941" min="7941" style="42" width="4"/>
    <col collapsed="false" customWidth="true" hidden="false" outlineLevel="0" max="7942" min="7942" style="42" width="17"/>
    <col collapsed="false" customWidth="true" hidden="false" outlineLevel="0" max="7943" min="7943" style="42" width="9.42"/>
    <col collapsed="false" customWidth="true" hidden="false" outlineLevel="0" max="7944" min="7944" style="42" width="11.43"/>
    <col collapsed="false" customWidth="true" hidden="false" outlineLevel="0" max="7945" min="7945" style="42" width="4.57"/>
    <col collapsed="false" customWidth="true" hidden="false" outlineLevel="0" max="7946" min="7946" style="42" width="17.15"/>
    <col collapsed="false" customWidth="true" hidden="false" outlineLevel="0" max="7947" min="7947" style="42" width="10"/>
    <col collapsed="false" customWidth="true" hidden="false" outlineLevel="0" max="7948" min="7948" style="42" width="11.43"/>
    <col collapsed="false" customWidth="true" hidden="false" outlineLevel="0" max="7949" min="7949" style="42" width="6.29"/>
    <col collapsed="false" customWidth="true" hidden="false" outlineLevel="0" max="7950" min="7950" style="42" width="24.29"/>
    <col collapsed="false" customWidth="true" hidden="false" outlineLevel="0" max="7951" min="7951" style="42" width="10"/>
    <col collapsed="false" customWidth="true" hidden="false" outlineLevel="0" max="7952" min="7952" style="42" width="11.43"/>
    <col collapsed="false" customWidth="true" hidden="false" outlineLevel="0" max="7953" min="7953" style="42" width="6.85"/>
    <col collapsed="false" customWidth="true" hidden="false" outlineLevel="0" max="7954" min="7954" style="42" width="16.29"/>
    <col collapsed="false" customWidth="false" hidden="false" outlineLevel="0" max="8191" min="7955" style="42" width="11.71"/>
    <col collapsed="false" customWidth="true" hidden="false" outlineLevel="0" max="8192" min="8192" style="42" width="12.71"/>
    <col collapsed="false" customWidth="true" hidden="false" outlineLevel="0" max="8193" min="8193" style="42" width="14.14"/>
    <col collapsed="false" customWidth="true" hidden="false" outlineLevel="0" max="8194" min="8194" style="42" width="22.57"/>
    <col collapsed="false" customWidth="true" hidden="false" outlineLevel="0" max="8195" min="8195" style="42" width="10"/>
    <col collapsed="false" customWidth="true" hidden="false" outlineLevel="0" max="8196" min="8196" style="42" width="12.86"/>
    <col collapsed="false" customWidth="true" hidden="false" outlineLevel="0" max="8197" min="8197" style="42" width="4"/>
    <col collapsed="false" customWidth="true" hidden="false" outlineLevel="0" max="8198" min="8198" style="42" width="17"/>
    <col collapsed="false" customWidth="true" hidden="false" outlineLevel="0" max="8199" min="8199" style="42" width="9.42"/>
    <col collapsed="false" customWidth="true" hidden="false" outlineLevel="0" max="8200" min="8200" style="42" width="11.43"/>
    <col collapsed="false" customWidth="true" hidden="false" outlineLevel="0" max="8201" min="8201" style="42" width="4.57"/>
    <col collapsed="false" customWidth="true" hidden="false" outlineLevel="0" max="8202" min="8202" style="42" width="17.15"/>
    <col collapsed="false" customWidth="true" hidden="false" outlineLevel="0" max="8203" min="8203" style="42" width="10"/>
    <col collapsed="false" customWidth="true" hidden="false" outlineLevel="0" max="8204" min="8204" style="42" width="11.43"/>
    <col collapsed="false" customWidth="true" hidden="false" outlineLevel="0" max="8205" min="8205" style="42" width="6.29"/>
    <col collapsed="false" customWidth="true" hidden="false" outlineLevel="0" max="8206" min="8206" style="42" width="24.29"/>
    <col collapsed="false" customWidth="true" hidden="false" outlineLevel="0" max="8207" min="8207" style="42" width="10"/>
    <col collapsed="false" customWidth="true" hidden="false" outlineLevel="0" max="8208" min="8208" style="42" width="11.43"/>
    <col collapsed="false" customWidth="true" hidden="false" outlineLevel="0" max="8209" min="8209" style="42" width="6.85"/>
    <col collapsed="false" customWidth="true" hidden="false" outlineLevel="0" max="8210" min="8210" style="42" width="16.29"/>
    <col collapsed="false" customWidth="false" hidden="false" outlineLevel="0" max="8447" min="8211" style="42" width="11.71"/>
    <col collapsed="false" customWidth="true" hidden="false" outlineLevel="0" max="8448" min="8448" style="42" width="12.71"/>
    <col collapsed="false" customWidth="true" hidden="false" outlineLevel="0" max="8449" min="8449" style="42" width="14.14"/>
    <col collapsed="false" customWidth="true" hidden="false" outlineLevel="0" max="8450" min="8450" style="42" width="22.57"/>
    <col collapsed="false" customWidth="true" hidden="false" outlineLevel="0" max="8451" min="8451" style="42" width="10"/>
    <col collapsed="false" customWidth="true" hidden="false" outlineLevel="0" max="8452" min="8452" style="42" width="12.86"/>
    <col collapsed="false" customWidth="true" hidden="false" outlineLevel="0" max="8453" min="8453" style="42" width="4"/>
    <col collapsed="false" customWidth="true" hidden="false" outlineLevel="0" max="8454" min="8454" style="42" width="17"/>
    <col collapsed="false" customWidth="true" hidden="false" outlineLevel="0" max="8455" min="8455" style="42" width="9.42"/>
    <col collapsed="false" customWidth="true" hidden="false" outlineLevel="0" max="8456" min="8456" style="42" width="11.43"/>
    <col collapsed="false" customWidth="true" hidden="false" outlineLevel="0" max="8457" min="8457" style="42" width="4.57"/>
    <col collapsed="false" customWidth="true" hidden="false" outlineLevel="0" max="8458" min="8458" style="42" width="17.15"/>
    <col collapsed="false" customWidth="true" hidden="false" outlineLevel="0" max="8459" min="8459" style="42" width="10"/>
    <col collapsed="false" customWidth="true" hidden="false" outlineLevel="0" max="8460" min="8460" style="42" width="11.43"/>
    <col collapsed="false" customWidth="true" hidden="false" outlineLevel="0" max="8461" min="8461" style="42" width="6.29"/>
    <col collapsed="false" customWidth="true" hidden="false" outlineLevel="0" max="8462" min="8462" style="42" width="24.29"/>
    <col collapsed="false" customWidth="true" hidden="false" outlineLevel="0" max="8463" min="8463" style="42" width="10"/>
    <col collapsed="false" customWidth="true" hidden="false" outlineLevel="0" max="8464" min="8464" style="42" width="11.43"/>
    <col collapsed="false" customWidth="true" hidden="false" outlineLevel="0" max="8465" min="8465" style="42" width="6.85"/>
    <col collapsed="false" customWidth="true" hidden="false" outlineLevel="0" max="8466" min="8466" style="42" width="16.29"/>
    <col collapsed="false" customWidth="false" hidden="false" outlineLevel="0" max="8703" min="8467" style="42" width="11.71"/>
    <col collapsed="false" customWidth="true" hidden="false" outlineLevel="0" max="8704" min="8704" style="42" width="12.71"/>
    <col collapsed="false" customWidth="true" hidden="false" outlineLevel="0" max="8705" min="8705" style="42" width="14.14"/>
    <col collapsed="false" customWidth="true" hidden="false" outlineLevel="0" max="8706" min="8706" style="42" width="22.57"/>
    <col collapsed="false" customWidth="true" hidden="false" outlineLevel="0" max="8707" min="8707" style="42" width="10"/>
    <col collapsed="false" customWidth="true" hidden="false" outlineLevel="0" max="8708" min="8708" style="42" width="12.86"/>
    <col collapsed="false" customWidth="true" hidden="false" outlineLevel="0" max="8709" min="8709" style="42" width="4"/>
    <col collapsed="false" customWidth="true" hidden="false" outlineLevel="0" max="8710" min="8710" style="42" width="17"/>
    <col collapsed="false" customWidth="true" hidden="false" outlineLevel="0" max="8711" min="8711" style="42" width="9.42"/>
    <col collapsed="false" customWidth="true" hidden="false" outlineLevel="0" max="8712" min="8712" style="42" width="11.43"/>
    <col collapsed="false" customWidth="true" hidden="false" outlineLevel="0" max="8713" min="8713" style="42" width="4.57"/>
    <col collapsed="false" customWidth="true" hidden="false" outlineLevel="0" max="8714" min="8714" style="42" width="17.15"/>
    <col collapsed="false" customWidth="true" hidden="false" outlineLevel="0" max="8715" min="8715" style="42" width="10"/>
    <col collapsed="false" customWidth="true" hidden="false" outlineLevel="0" max="8716" min="8716" style="42" width="11.43"/>
    <col collapsed="false" customWidth="true" hidden="false" outlineLevel="0" max="8717" min="8717" style="42" width="6.29"/>
    <col collapsed="false" customWidth="true" hidden="false" outlineLevel="0" max="8718" min="8718" style="42" width="24.29"/>
    <col collapsed="false" customWidth="true" hidden="false" outlineLevel="0" max="8719" min="8719" style="42" width="10"/>
    <col collapsed="false" customWidth="true" hidden="false" outlineLevel="0" max="8720" min="8720" style="42" width="11.43"/>
    <col collapsed="false" customWidth="true" hidden="false" outlineLevel="0" max="8721" min="8721" style="42" width="6.85"/>
    <col collapsed="false" customWidth="true" hidden="false" outlineLevel="0" max="8722" min="8722" style="42" width="16.29"/>
    <col collapsed="false" customWidth="false" hidden="false" outlineLevel="0" max="8959" min="8723" style="42" width="11.71"/>
    <col collapsed="false" customWidth="true" hidden="false" outlineLevel="0" max="8960" min="8960" style="42" width="12.71"/>
    <col collapsed="false" customWidth="true" hidden="false" outlineLevel="0" max="8961" min="8961" style="42" width="14.14"/>
    <col collapsed="false" customWidth="true" hidden="false" outlineLevel="0" max="8962" min="8962" style="42" width="22.57"/>
    <col collapsed="false" customWidth="true" hidden="false" outlineLevel="0" max="8963" min="8963" style="42" width="10"/>
    <col collapsed="false" customWidth="true" hidden="false" outlineLevel="0" max="8964" min="8964" style="42" width="12.86"/>
    <col collapsed="false" customWidth="true" hidden="false" outlineLevel="0" max="8965" min="8965" style="42" width="4"/>
    <col collapsed="false" customWidth="true" hidden="false" outlineLevel="0" max="8966" min="8966" style="42" width="17"/>
    <col collapsed="false" customWidth="true" hidden="false" outlineLevel="0" max="8967" min="8967" style="42" width="9.42"/>
    <col collapsed="false" customWidth="true" hidden="false" outlineLevel="0" max="8968" min="8968" style="42" width="11.43"/>
    <col collapsed="false" customWidth="true" hidden="false" outlineLevel="0" max="8969" min="8969" style="42" width="4.57"/>
    <col collapsed="false" customWidth="true" hidden="false" outlineLevel="0" max="8970" min="8970" style="42" width="17.15"/>
    <col collapsed="false" customWidth="true" hidden="false" outlineLevel="0" max="8971" min="8971" style="42" width="10"/>
    <col collapsed="false" customWidth="true" hidden="false" outlineLevel="0" max="8972" min="8972" style="42" width="11.43"/>
    <col collapsed="false" customWidth="true" hidden="false" outlineLevel="0" max="8973" min="8973" style="42" width="6.29"/>
    <col collapsed="false" customWidth="true" hidden="false" outlineLevel="0" max="8974" min="8974" style="42" width="24.29"/>
    <col collapsed="false" customWidth="true" hidden="false" outlineLevel="0" max="8975" min="8975" style="42" width="10"/>
    <col collapsed="false" customWidth="true" hidden="false" outlineLevel="0" max="8976" min="8976" style="42" width="11.43"/>
    <col collapsed="false" customWidth="true" hidden="false" outlineLevel="0" max="8977" min="8977" style="42" width="6.85"/>
    <col collapsed="false" customWidth="true" hidden="false" outlineLevel="0" max="8978" min="8978" style="42" width="16.29"/>
    <col collapsed="false" customWidth="false" hidden="false" outlineLevel="0" max="9215" min="8979" style="42" width="11.71"/>
    <col collapsed="false" customWidth="true" hidden="false" outlineLevel="0" max="9216" min="9216" style="42" width="12.71"/>
    <col collapsed="false" customWidth="true" hidden="false" outlineLevel="0" max="9217" min="9217" style="42" width="14.14"/>
    <col collapsed="false" customWidth="true" hidden="false" outlineLevel="0" max="9218" min="9218" style="42" width="22.57"/>
    <col collapsed="false" customWidth="true" hidden="false" outlineLevel="0" max="9219" min="9219" style="42" width="10"/>
    <col collapsed="false" customWidth="true" hidden="false" outlineLevel="0" max="9220" min="9220" style="42" width="12.86"/>
    <col collapsed="false" customWidth="true" hidden="false" outlineLevel="0" max="9221" min="9221" style="42" width="4"/>
    <col collapsed="false" customWidth="true" hidden="false" outlineLevel="0" max="9222" min="9222" style="42" width="17"/>
    <col collapsed="false" customWidth="true" hidden="false" outlineLevel="0" max="9223" min="9223" style="42" width="9.42"/>
    <col collapsed="false" customWidth="true" hidden="false" outlineLevel="0" max="9224" min="9224" style="42" width="11.43"/>
    <col collapsed="false" customWidth="true" hidden="false" outlineLevel="0" max="9225" min="9225" style="42" width="4.57"/>
    <col collapsed="false" customWidth="true" hidden="false" outlineLevel="0" max="9226" min="9226" style="42" width="17.15"/>
    <col collapsed="false" customWidth="true" hidden="false" outlineLevel="0" max="9227" min="9227" style="42" width="10"/>
    <col collapsed="false" customWidth="true" hidden="false" outlineLevel="0" max="9228" min="9228" style="42" width="11.43"/>
    <col collapsed="false" customWidth="true" hidden="false" outlineLevel="0" max="9229" min="9229" style="42" width="6.29"/>
    <col collapsed="false" customWidth="true" hidden="false" outlineLevel="0" max="9230" min="9230" style="42" width="24.29"/>
    <col collapsed="false" customWidth="true" hidden="false" outlineLevel="0" max="9231" min="9231" style="42" width="10"/>
    <col collapsed="false" customWidth="true" hidden="false" outlineLevel="0" max="9232" min="9232" style="42" width="11.43"/>
    <col collapsed="false" customWidth="true" hidden="false" outlineLevel="0" max="9233" min="9233" style="42" width="6.85"/>
    <col collapsed="false" customWidth="true" hidden="false" outlineLevel="0" max="9234" min="9234" style="42" width="16.29"/>
    <col collapsed="false" customWidth="false" hidden="false" outlineLevel="0" max="9471" min="9235" style="42" width="11.71"/>
    <col collapsed="false" customWidth="true" hidden="false" outlineLevel="0" max="9472" min="9472" style="42" width="12.71"/>
    <col collapsed="false" customWidth="true" hidden="false" outlineLevel="0" max="9473" min="9473" style="42" width="14.14"/>
    <col collapsed="false" customWidth="true" hidden="false" outlineLevel="0" max="9474" min="9474" style="42" width="22.57"/>
    <col collapsed="false" customWidth="true" hidden="false" outlineLevel="0" max="9475" min="9475" style="42" width="10"/>
    <col collapsed="false" customWidth="true" hidden="false" outlineLevel="0" max="9476" min="9476" style="42" width="12.86"/>
    <col collapsed="false" customWidth="true" hidden="false" outlineLevel="0" max="9477" min="9477" style="42" width="4"/>
    <col collapsed="false" customWidth="true" hidden="false" outlineLevel="0" max="9478" min="9478" style="42" width="17"/>
    <col collapsed="false" customWidth="true" hidden="false" outlineLevel="0" max="9479" min="9479" style="42" width="9.42"/>
    <col collapsed="false" customWidth="true" hidden="false" outlineLevel="0" max="9480" min="9480" style="42" width="11.43"/>
    <col collapsed="false" customWidth="true" hidden="false" outlineLevel="0" max="9481" min="9481" style="42" width="4.57"/>
    <col collapsed="false" customWidth="true" hidden="false" outlineLevel="0" max="9482" min="9482" style="42" width="17.15"/>
    <col collapsed="false" customWidth="true" hidden="false" outlineLevel="0" max="9483" min="9483" style="42" width="10"/>
    <col collapsed="false" customWidth="true" hidden="false" outlineLevel="0" max="9484" min="9484" style="42" width="11.43"/>
    <col collapsed="false" customWidth="true" hidden="false" outlineLevel="0" max="9485" min="9485" style="42" width="6.29"/>
    <col collapsed="false" customWidth="true" hidden="false" outlineLevel="0" max="9486" min="9486" style="42" width="24.29"/>
    <col collapsed="false" customWidth="true" hidden="false" outlineLevel="0" max="9487" min="9487" style="42" width="10"/>
    <col collapsed="false" customWidth="true" hidden="false" outlineLevel="0" max="9488" min="9488" style="42" width="11.43"/>
    <col collapsed="false" customWidth="true" hidden="false" outlineLevel="0" max="9489" min="9489" style="42" width="6.85"/>
    <col collapsed="false" customWidth="true" hidden="false" outlineLevel="0" max="9490" min="9490" style="42" width="16.29"/>
    <col collapsed="false" customWidth="false" hidden="false" outlineLevel="0" max="9727" min="9491" style="42" width="11.71"/>
    <col collapsed="false" customWidth="true" hidden="false" outlineLevel="0" max="9728" min="9728" style="42" width="12.71"/>
    <col collapsed="false" customWidth="true" hidden="false" outlineLevel="0" max="9729" min="9729" style="42" width="14.14"/>
    <col collapsed="false" customWidth="true" hidden="false" outlineLevel="0" max="9730" min="9730" style="42" width="22.57"/>
    <col collapsed="false" customWidth="true" hidden="false" outlineLevel="0" max="9731" min="9731" style="42" width="10"/>
    <col collapsed="false" customWidth="true" hidden="false" outlineLevel="0" max="9732" min="9732" style="42" width="12.86"/>
    <col collapsed="false" customWidth="true" hidden="false" outlineLevel="0" max="9733" min="9733" style="42" width="4"/>
    <col collapsed="false" customWidth="true" hidden="false" outlineLevel="0" max="9734" min="9734" style="42" width="17"/>
    <col collapsed="false" customWidth="true" hidden="false" outlineLevel="0" max="9735" min="9735" style="42" width="9.42"/>
    <col collapsed="false" customWidth="true" hidden="false" outlineLevel="0" max="9736" min="9736" style="42" width="11.43"/>
    <col collapsed="false" customWidth="true" hidden="false" outlineLevel="0" max="9737" min="9737" style="42" width="4.57"/>
    <col collapsed="false" customWidth="true" hidden="false" outlineLevel="0" max="9738" min="9738" style="42" width="17.15"/>
    <col collapsed="false" customWidth="true" hidden="false" outlineLevel="0" max="9739" min="9739" style="42" width="10"/>
    <col collapsed="false" customWidth="true" hidden="false" outlineLevel="0" max="9740" min="9740" style="42" width="11.43"/>
    <col collapsed="false" customWidth="true" hidden="false" outlineLevel="0" max="9741" min="9741" style="42" width="6.29"/>
    <col collapsed="false" customWidth="true" hidden="false" outlineLevel="0" max="9742" min="9742" style="42" width="24.29"/>
    <col collapsed="false" customWidth="true" hidden="false" outlineLevel="0" max="9743" min="9743" style="42" width="10"/>
    <col collapsed="false" customWidth="true" hidden="false" outlineLevel="0" max="9744" min="9744" style="42" width="11.43"/>
    <col collapsed="false" customWidth="true" hidden="false" outlineLevel="0" max="9745" min="9745" style="42" width="6.85"/>
    <col collapsed="false" customWidth="true" hidden="false" outlineLevel="0" max="9746" min="9746" style="42" width="16.29"/>
    <col collapsed="false" customWidth="false" hidden="false" outlineLevel="0" max="9983" min="9747" style="42" width="11.71"/>
    <col collapsed="false" customWidth="true" hidden="false" outlineLevel="0" max="9984" min="9984" style="42" width="12.71"/>
    <col collapsed="false" customWidth="true" hidden="false" outlineLevel="0" max="9985" min="9985" style="42" width="14.14"/>
    <col collapsed="false" customWidth="true" hidden="false" outlineLevel="0" max="9986" min="9986" style="42" width="22.57"/>
    <col collapsed="false" customWidth="true" hidden="false" outlineLevel="0" max="9987" min="9987" style="42" width="10"/>
    <col collapsed="false" customWidth="true" hidden="false" outlineLevel="0" max="9988" min="9988" style="42" width="12.86"/>
    <col collapsed="false" customWidth="true" hidden="false" outlineLevel="0" max="9989" min="9989" style="42" width="4"/>
    <col collapsed="false" customWidth="true" hidden="false" outlineLevel="0" max="9990" min="9990" style="42" width="17"/>
    <col collapsed="false" customWidth="true" hidden="false" outlineLevel="0" max="9991" min="9991" style="42" width="9.42"/>
    <col collapsed="false" customWidth="true" hidden="false" outlineLevel="0" max="9992" min="9992" style="42" width="11.43"/>
    <col collapsed="false" customWidth="true" hidden="false" outlineLevel="0" max="9993" min="9993" style="42" width="4.57"/>
    <col collapsed="false" customWidth="true" hidden="false" outlineLevel="0" max="9994" min="9994" style="42" width="17.15"/>
    <col collapsed="false" customWidth="true" hidden="false" outlineLevel="0" max="9995" min="9995" style="42" width="10"/>
    <col collapsed="false" customWidth="true" hidden="false" outlineLevel="0" max="9996" min="9996" style="42" width="11.43"/>
    <col collapsed="false" customWidth="true" hidden="false" outlineLevel="0" max="9997" min="9997" style="42" width="6.29"/>
    <col collapsed="false" customWidth="true" hidden="false" outlineLevel="0" max="9998" min="9998" style="42" width="24.29"/>
    <col collapsed="false" customWidth="true" hidden="false" outlineLevel="0" max="9999" min="9999" style="42" width="10"/>
    <col collapsed="false" customWidth="true" hidden="false" outlineLevel="0" max="10000" min="10000" style="42" width="11.43"/>
    <col collapsed="false" customWidth="true" hidden="false" outlineLevel="0" max="10001" min="10001" style="42" width="6.85"/>
    <col collapsed="false" customWidth="true" hidden="false" outlineLevel="0" max="10002" min="10002" style="42" width="16.29"/>
    <col collapsed="false" customWidth="false" hidden="false" outlineLevel="0" max="10239" min="10003" style="42" width="11.71"/>
    <col collapsed="false" customWidth="true" hidden="false" outlineLevel="0" max="10240" min="10240" style="42" width="12.71"/>
    <col collapsed="false" customWidth="true" hidden="false" outlineLevel="0" max="10241" min="10241" style="42" width="14.14"/>
    <col collapsed="false" customWidth="true" hidden="false" outlineLevel="0" max="10242" min="10242" style="42" width="22.57"/>
    <col collapsed="false" customWidth="true" hidden="false" outlineLevel="0" max="10243" min="10243" style="42" width="10"/>
    <col collapsed="false" customWidth="true" hidden="false" outlineLevel="0" max="10244" min="10244" style="42" width="12.86"/>
    <col collapsed="false" customWidth="true" hidden="false" outlineLevel="0" max="10245" min="10245" style="42" width="4"/>
    <col collapsed="false" customWidth="true" hidden="false" outlineLevel="0" max="10246" min="10246" style="42" width="17"/>
    <col collapsed="false" customWidth="true" hidden="false" outlineLevel="0" max="10247" min="10247" style="42" width="9.42"/>
    <col collapsed="false" customWidth="true" hidden="false" outlineLevel="0" max="10248" min="10248" style="42" width="11.43"/>
    <col collapsed="false" customWidth="true" hidden="false" outlineLevel="0" max="10249" min="10249" style="42" width="4.57"/>
    <col collapsed="false" customWidth="true" hidden="false" outlineLevel="0" max="10250" min="10250" style="42" width="17.15"/>
    <col collapsed="false" customWidth="true" hidden="false" outlineLevel="0" max="10251" min="10251" style="42" width="10"/>
    <col collapsed="false" customWidth="true" hidden="false" outlineLevel="0" max="10252" min="10252" style="42" width="11.43"/>
    <col collapsed="false" customWidth="true" hidden="false" outlineLevel="0" max="10253" min="10253" style="42" width="6.29"/>
    <col collapsed="false" customWidth="true" hidden="false" outlineLevel="0" max="10254" min="10254" style="42" width="24.29"/>
    <col collapsed="false" customWidth="true" hidden="false" outlineLevel="0" max="10255" min="10255" style="42" width="10"/>
    <col collapsed="false" customWidth="true" hidden="false" outlineLevel="0" max="10256" min="10256" style="42" width="11.43"/>
    <col collapsed="false" customWidth="true" hidden="false" outlineLevel="0" max="10257" min="10257" style="42" width="6.85"/>
    <col collapsed="false" customWidth="true" hidden="false" outlineLevel="0" max="10258" min="10258" style="42" width="16.29"/>
    <col collapsed="false" customWidth="false" hidden="false" outlineLevel="0" max="10495" min="10259" style="42" width="11.71"/>
    <col collapsed="false" customWidth="true" hidden="false" outlineLevel="0" max="10496" min="10496" style="42" width="12.71"/>
    <col collapsed="false" customWidth="true" hidden="false" outlineLevel="0" max="10497" min="10497" style="42" width="14.14"/>
    <col collapsed="false" customWidth="true" hidden="false" outlineLevel="0" max="10498" min="10498" style="42" width="22.57"/>
    <col collapsed="false" customWidth="true" hidden="false" outlineLevel="0" max="10499" min="10499" style="42" width="10"/>
    <col collapsed="false" customWidth="true" hidden="false" outlineLevel="0" max="10500" min="10500" style="42" width="12.86"/>
    <col collapsed="false" customWidth="true" hidden="false" outlineLevel="0" max="10501" min="10501" style="42" width="4"/>
    <col collapsed="false" customWidth="true" hidden="false" outlineLevel="0" max="10502" min="10502" style="42" width="17"/>
    <col collapsed="false" customWidth="true" hidden="false" outlineLevel="0" max="10503" min="10503" style="42" width="9.42"/>
    <col collapsed="false" customWidth="true" hidden="false" outlineLevel="0" max="10504" min="10504" style="42" width="11.43"/>
    <col collapsed="false" customWidth="true" hidden="false" outlineLevel="0" max="10505" min="10505" style="42" width="4.57"/>
    <col collapsed="false" customWidth="true" hidden="false" outlineLevel="0" max="10506" min="10506" style="42" width="17.15"/>
    <col collapsed="false" customWidth="true" hidden="false" outlineLevel="0" max="10507" min="10507" style="42" width="10"/>
    <col collapsed="false" customWidth="true" hidden="false" outlineLevel="0" max="10508" min="10508" style="42" width="11.43"/>
    <col collapsed="false" customWidth="true" hidden="false" outlineLevel="0" max="10509" min="10509" style="42" width="6.29"/>
    <col collapsed="false" customWidth="true" hidden="false" outlineLevel="0" max="10510" min="10510" style="42" width="24.29"/>
    <col collapsed="false" customWidth="true" hidden="false" outlineLevel="0" max="10511" min="10511" style="42" width="10"/>
    <col collapsed="false" customWidth="true" hidden="false" outlineLevel="0" max="10512" min="10512" style="42" width="11.43"/>
    <col collapsed="false" customWidth="true" hidden="false" outlineLevel="0" max="10513" min="10513" style="42" width="6.85"/>
    <col collapsed="false" customWidth="true" hidden="false" outlineLevel="0" max="10514" min="10514" style="42" width="16.29"/>
    <col collapsed="false" customWidth="false" hidden="false" outlineLevel="0" max="10751" min="10515" style="42" width="11.71"/>
    <col collapsed="false" customWidth="true" hidden="false" outlineLevel="0" max="10752" min="10752" style="42" width="12.71"/>
    <col collapsed="false" customWidth="true" hidden="false" outlineLevel="0" max="10753" min="10753" style="42" width="14.14"/>
    <col collapsed="false" customWidth="true" hidden="false" outlineLevel="0" max="10754" min="10754" style="42" width="22.57"/>
    <col collapsed="false" customWidth="true" hidden="false" outlineLevel="0" max="10755" min="10755" style="42" width="10"/>
    <col collapsed="false" customWidth="true" hidden="false" outlineLevel="0" max="10756" min="10756" style="42" width="12.86"/>
    <col collapsed="false" customWidth="true" hidden="false" outlineLevel="0" max="10757" min="10757" style="42" width="4"/>
    <col collapsed="false" customWidth="true" hidden="false" outlineLevel="0" max="10758" min="10758" style="42" width="17"/>
    <col collapsed="false" customWidth="true" hidden="false" outlineLevel="0" max="10759" min="10759" style="42" width="9.42"/>
    <col collapsed="false" customWidth="true" hidden="false" outlineLevel="0" max="10760" min="10760" style="42" width="11.43"/>
    <col collapsed="false" customWidth="true" hidden="false" outlineLevel="0" max="10761" min="10761" style="42" width="4.57"/>
    <col collapsed="false" customWidth="true" hidden="false" outlineLevel="0" max="10762" min="10762" style="42" width="17.15"/>
    <col collapsed="false" customWidth="true" hidden="false" outlineLevel="0" max="10763" min="10763" style="42" width="10"/>
    <col collapsed="false" customWidth="true" hidden="false" outlineLevel="0" max="10764" min="10764" style="42" width="11.43"/>
    <col collapsed="false" customWidth="true" hidden="false" outlineLevel="0" max="10765" min="10765" style="42" width="6.29"/>
    <col collapsed="false" customWidth="true" hidden="false" outlineLevel="0" max="10766" min="10766" style="42" width="24.29"/>
    <col collapsed="false" customWidth="true" hidden="false" outlineLevel="0" max="10767" min="10767" style="42" width="10"/>
    <col collapsed="false" customWidth="true" hidden="false" outlineLevel="0" max="10768" min="10768" style="42" width="11.43"/>
    <col collapsed="false" customWidth="true" hidden="false" outlineLevel="0" max="10769" min="10769" style="42" width="6.85"/>
    <col collapsed="false" customWidth="true" hidden="false" outlineLevel="0" max="10770" min="10770" style="42" width="16.29"/>
    <col collapsed="false" customWidth="false" hidden="false" outlineLevel="0" max="11007" min="10771" style="42" width="11.71"/>
    <col collapsed="false" customWidth="true" hidden="false" outlineLevel="0" max="11008" min="11008" style="42" width="12.71"/>
    <col collapsed="false" customWidth="true" hidden="false" outlineLevel="0" max="11009" min="11009" style="42" width="14.14"/>
    <col collapsed="false" customWidth="true" hidden="false" outlineLevel="0" max="11010" min="11010" style="42" width="22.57"/>
    <col collapsed="false" customWidth="true" hidden="false" outlineLevel="0" max="11011" min="11011" style="42" width="10"/>
    <col collapsed="false" customWidth="true" hidden="false" outlineLevel="0" max="11012" min="11012" style="42" width="12.86"/>
    <col collapsed="false" customWidth="true" hidden="false" outlineLevel="0" max="11013" min="11013" style="42" width="4"/>
    <col collapsed="false" customWidth="true" hidden="false" outlineLevel="0" max="11014" min="11014" style="42" width="17"/>
    <col collapsed="false" customWidth="true" hidden="false" outlineLevel="0" max="11015" min="11015" style="42" width="9.42"/>
    <col collapsed="false" customWidth="true" hidden="false" outlineLevel="0" max="11016" min="11016" style="42" width="11.43"/>
    <col collapsed="false" customWidth="true" hidden="false" outlineLevel="0" max="11017" min="11017" style="42" width="4.57"/>
    <col collapsed="false" customWidth="true" hidden="false" outlineLevel="0" max="11018" min="11018" style="42" width="17.15"/>
    <col collapsed="false" customWidth="true" hidden="false" outlineLevel="0" max="11019" min="11019" style="42" width="10"/>
    <col collapsed="false" customWidth="true" hidden="false" outlineLevel="0" max="11020" min="11020" style="42" width="11.43"/>
    <col collapsed="false" customWidth="true" hidden="false" outlineLevel="0" max="11021" min="11021" style="42" width="6.29"/>
    <col collapsed="false" customWidth="true" hidden="false" outlineLevel="0" max="11022" min="11022" style="42" width="24.29"/>
    <col collapsed="false" customWidth="true" hidden="false" outlineLevel="0" max="11023" min="11023" style="42" width="10"/>
    <col collapsed="false" customWidth="true" hidden="false" outlineLevel="0" max="11024" min="11024" style="42" width="11.43"/>
    <col collapsed="false" customWidth="true" hidden="false" outlineLevel="0" max="11025" min="11025" style="42" width="6.85"/>
    <col collapsed="false" customWidth="true" hidden="false" outlineLevel="0" max="11026" min="11026" style="42" width="16.29"/>
    <col collapsed="false" customWidth="false" hidden="false" outlineLevel="0" max="11263" min="11027" style="42" width="11.71"/>
    <col collapsed="false" customWidth="true" hidden="false" outlineLevel="0" max="11264" min="11264" style="42" width="12.71"/>
    <col collapsed="false" customWidth="true" hidden="false" outlineLevel="0" max="11265" min="11265" style="42" width="14.14"/>
    <col collapsed="false" customWidth="true" hidden="false" outlineLevel="0" max="11266" min="11266" style="42" width="22.57"/>
    <col collapsed="false" customWidth="true" hidden="false" outlineLevel="0" max="11267" min="11267" style="42" width="10"/>
    <col collapsed="false" customWidth="true" hidden="false" outlineLevel="0" max="11268" min="11268" style="42" width="12.86"/>
    <col collapsed="false" customWidth="true" hidden="false" outlineLevel="0" max="11269" min="11269" style="42" width="4"/>
    <col collapsed="false" customWidth="true" hidden="false" outlineLevel="0" max="11270" min="11270" style="42" width="17"/>
    <col collapsed="false" customWidth="true" hidden="false" outlineLevel="0" max="11271" min="11271" style="42" width="9.42"/>
    <col collapsed="false" customWidth="true" hidden="false" outlineLevel="0" max="11272" min="11272" style="42" width="11.43"/>
    <col collapsed="false" customWidth="true" hidden="false" outlineLevel="0" max="11273" min="11273" style="42" width="4.57"/>
    <col collapsed="false" customWidth="true" hidden="false" outlineLevel="0" max="11274" min="11274" style="42" width="17.15"/>
    <col collapsed="false" customWidth="true" hidden="false" outlineLevel="0" max="11275" min="11275" style="42" width="10"/>
    <col collapsed="false" customWidth="true" hidden="false" outlineLevel="0" max="11276" min="11276" style="42" width="11.43"/>
    <col collapsed="false" customWidth="true" hidden="false" outlineLevel="0" max="11277" min="11277" style="42" width="6.29"/>
    <col collapsed="false" customWidth="true" hidden="false" outlineLevel="0" max="11278" min="11278" style="42" width="24.29"/>
    <col collapsed="false" customWidth="true" hidden="false" outlineLevel="0" max="11279" min="11279" style="42" width="10"/>
    <col collapsed="false" customWidth="true" hidden="false" outlineLevel="0" max="11280" min="11280" style="42" width="11.43"/>
    <col collapsed="false" customWidth="true" hidden="false" outlineLevel="0" max="11281" min="11281" style="42" width="6.85"/>
    <col collapsed="false" customWidth="true" hidden="false" outlineLevel="0" max="11282" min="11282" style="42" width="16.29"/>
    <col collapsed="false" customWidth="false" hidden="false" outlineLevel="0" max="11519" min="11283" style="42" width="11.71"/>
    <col collapsed="false" customWidth="true" hidden="false" outlineLevel="0" max="11520" min="11520" style="42" width="12.71"/>
    <col collapsed="false" customWidth="true" hidden="false" outlineLevel="0" max="11521" min="11521" style="42" width="14.14"/>
    <col collapsed="false" customWidth="true" hidden="false" outlineLevel="0" max="11522" min="11522" style="42" width="22.57"/>
    <col collapsed="false" customWidth="true" hidden="false" outlineLevel="0" max="11523" min="11523" style="42" width="10"/>
    <col collapsed="false" customWidth="true" hidden="false" outlineLevel="0" max="11524" min="11524" style="42" width="12.86"/>
    <col collapsed="false" customWidth="true" hidden="false" outlineLevel="0" max="11525" min="11525" style="42" width="4"/>
    <col collapsed="false" customWidth="true" hidden="false" outlineLevel="0" max="11526" min="11526" style="42" width="17"/>
    <col collapsed="false" customWidth="true" hidden="false" outlineLevel="0" max="11527" min="11527" style="42" width="9.42"/>
    <col collapsed="false" customWidth="true" hidden="false" outlineLevel="0" max="11528" min="11528" style="42" width="11.43"/>
    <col collapsed="false" customWidth="true" hidden="false" outlineLevel="0" max="11529" min="11529" style="42" width="4.57"/>
    <col collapsed="false" customWidth="true" hidden="false" outlineLevel="0" max="11530" min="11530" style="42" width="17.15"/>
    <col collapsed="false" customWidth="true" hidden="false" outlineLevel="0" max="11531" min="11531" style="42" width="10"/>
    <col collapsed="false" customWidth="true" hidden="false" outlineLevel="0" max="11532" min="11532" style="42" width="11.43"/>
    <col collapsed="false" customWidth="true" hidden="false" outlineLevel="0" max="11533" min="11533" style="42" width="6.29"/>
    <col collapsed="false" customWidth="true" hidden="false" outlineLevel="0" max="11534" min="11534" style="42" width="24.29"/>
    <col collapsed="false" customWidth="true" hidden="false" outlineLevel="0" max="11535" min="11535" style="42" width="10"/>
    <col collapsed="false" customWidth="true" hidden="false" outlineLevel="0" max="11536" min="11536" style="42" width="11.43"/>
    <col collapsed="false" customWidth="true" hidden="false" outlineLevel="0" max="11537" min="11537" style="42" width="6.85"/>
    <col collapsed="false" customWidth="true" hidden="false" outlineLevel="0" max="11538" min="11538" style="42" width="16.29"/>
    <col collapsed="false" customWidth="false" hidden="false" outlineLevel="0" max="11775" min="11539" style="42" width="11.71"/>
    <col collapsed="false" customWidth="true" hidden="false" outlineLevel="0" max="11776" min="11776" style="42" width="12.71"/>
    <col collapsed="false" customWidth="true" hidden="false" outlineLevel="0" max="11777" min="11777" style="42" width="14.14"/>
    <col collapsed="false" customWidth="true" hidden="false" outlineLevel="0" max="11778" min="11778" style="42" width="22.57"/>
    <col collapsed="false" customWidth="true" hidden="false" outlineLevel="0" max="11779" min="11779" style="42" width="10"/>
    <col collapsed="false" customWidth="true" hidden="false" outlineLevel="0" max="11780" min="11780" style="42" width="12.86"/>
    <col collapsed="false" customWidth="true" hidden="false" outlineLevel="0" max="11781" min="11781" style="42" width="4"/>
    <col collapsed="false" customWidth="true" hidden="false" outlineLevel="0" max="11782" min="11782" style="42" width="17"/>
    <col collapsed="false" customWidth="true" hidden="false" outlineLevel="0" max="11783" min="11783" style="42" width="9.42"/>
    <col collapsed="false" customWidth="true" hidden="false" outlineLevel="0" max="11784" min="11784" style="42" width="11.43"/>
    <col collapsed="false" customWidth="true" hidden="false" outlineLevel="0" max="11785" min="11785" style="42" width="4.57"/>
    <col collapsed="false" customWidth="true" hidden="false" outlineLevel="0" max="11786" min="11786" style="42" width="17.15"/>
    <col collapsed="false" customWidth="true" hidden="false" outlineLevel="0" max="11787" min="11787" style="42" width="10"/>
    <col collapsed="false" customWidth="true" hidden="false" outlineLevel="0" max="11788" min="11788" style="42" width="11.43"/>
    <col collapsed="false" customWidth="true" hidden="false" outlineLevel="0" max="11789" min="11789" style="42" width="6.29"/>
    <col collapsed="false" customWidth="true" hidden="false" outlineLevel="0" max="11790" min="11790" style="42" width="24.29"/>
    <col collapsed="false" customWidth="true" hidden="false" outlineLevel="0" max="11791" min="11791" style="42" width="10"/>
    <col collapsed="false" customWidth="true" hidden="false" outlineLevel="0" max="11792" min="11792" style="42" width="11.43"/>
    <col collapsed="false" customWidth="true" hidden="false" outlineLevel="0" max="11793" min="11793" style="42" width="6.85"/>
    <col collapsed="false" customWidth="true" hidden="false" outlineLevel="0" max="11794" min="11794" style="42" width="16.29"/>
    <col collapsed="false" customWidth="false" hidden="false" outlineLevel="0" max="12031" min="11795" style="42" width="11.71"/>
    <col collapsed="false" customWidth="true" hidden="false" outlineLevel="0" max="12032" min="12032" style="42" width="12.71"/>
    <col collapsed="false" customWidth="true" hidden="false" outlineLevel="0" max="12033" min="12033" style="42" width="14.14"/>
    <col collapsed="false" customWidth="true" hidden="false" outlineLevel="0" max="12034" min="12034" style="42" width="22.57"/>
    <col collapsed="false" customWidth="true" hidden="false" outlineLevel="0" max="12035" min="12035" style="42" width="10"/>
    <col collapsed="false" customWidth="true" hidden="false" outlineLevel="0" max="12036" min="12036" style="42" width="12.86"/>
    <col collapsed="false" customWidth="true" hidden="false" outlineLevel="0" max="12037" min="12037" style="42" width="4"/>
    <col collapsed="false" customWidth="true" hidden="false" outlineLevel="0" max="12038" min="12038" style="42" width="17"/>
    <col collapsed="false" customWidth="true" hidden="false" outlineLevel="0" max="12039" min="12039" style="42" width="9.42"/>
    <col collapsed="false" customWidth="true" hidden="false" outlineLevel="0" max="12040" min="12040" style="42" width="11.43"/>
    <col collapsed="false" customWidth="true" hidden="false" outlineLevel="0" max="12041" min="12041" style="42" width="4.57"/>
    <col collapsed="false" customWidth="true" hidden="false" outlineLevel="0" max="12042" min="12042" style="42" width="17.15"/>
    <col collapsed="false" customWidth="true" hidden="false" outlineLevel="0" max="12043" min="12043" style="42" width="10"/>
    <col collapsed="false" customWidth="true" hidden="false" outlineLevel="0" max="12044" min="12044" style="42" width="11.43"/>
    <col collapsed="false" customWidth="true" hidden="false" outlineLevel="0" max="12045" min="12045" style="42" width="6.29"/>
    <col collapsed="false" customWidth="true" hidden="false" outlineLevel="0" max="12046" min="12046" style="42" width="24.29"/>
    <col collapsed="false" customWidth="true" hidden="false" outlineLevel="0" max="12047" min="12047" style="42" width="10"/>
    <col collapsed="false" customWidth="true" hidden="false" outlineLevel="0" max="12048" min="12048" style="42" width="11.43"/>
    <col collapsed="false" customWidth="true" hidden="false" outlineLevel="0" max="12049" min="12049" style="42" width="6.85"/>
    <col collapsed="false" customWidth="true" hidden="false" outlineLevel="0" max="12050" min="12050" style="42" width="16.29"/>
    <col collapsed="false" customWidth="false" hidden="false" outlineLevel="0" max="12287" min="12051" style="42" width="11.71"/>
    <col collapsed="false" customWidth="true" hidden="false" outlineLevel="0" max="12288" min="12288" style="42" width="12.71"/>
    <col collapsed="false" customWidth="true" hidden="false" outlineLevel="0" max="12289" min="12289" style="42" width="14.14"/>
    <col collapsed="false" customWidth="true" hidden="false" outlineLevel="0" max="12290" min="12290" style="42" width="22.57"/>
    <col collapsed="false" customWidth="true" hidden="false" outlineLevel="0" max="12291" min="12291" style="42" width="10"/>
    <col collapsed="false" customWidth="true" hidden="false" outlineLevel="0" max="12292" min="12292" style="42" width="12.86"/>
    <col collapsed="false" customWidth="true" hidden="false" outlineLevel="0" max="12293" min="12293" style="42" width="4"/>
    <col collapsed="false" customWidth="true" hidden="false" outlineLevel="0" max="12294" min="12294" style="42" width="17"/>
    <col collapsed="false" customWidth="true" hidden="false" outlineLevel="0" max="12295" min="12295" style="42" width="9.42"/>
    <col collapsed="false" customWidth="true" hidden="false" outlineLevel="0" max="12296" min="12296" style="42" width="11.43"/>
    <col collapsed="false" customWidth="true" hidden="false" outlineLevel="0" max="12297" min="12297" style="42" width="4.57"/>
    <col collapsed="false" customWidth="true" hidden="false" outlineLevel="0" max="12298" min="12298" style="42" width="17.15"/>
    <col collapsed="false" customWidth="true" hidden="false" outlineLevel="0" max="12299" min="12299" style="42" width="10"/>
    <col collapsed="false" customWidth="true" hidden="false" outlineLevel="0" max="12300" min="12300" style="42" width="11.43"/>
    <col collapsed="false" customWidth="true" hidden="false" outlineLevel="0" max="12301" min="12301" style="42" width="6.29"/>
    <col collapsed="false" customWidth="true" hidden="false" outlineLevel="0" max="12302" min="12302" style="42" width="24.29"/>
    <col collapsed="false" customWidth="true" hidden="false" outlineLevel="0" max="12303" min="12303" style="42" width="10"/>
    <col collapsed="false" customWidth="true" hidden="false" outlineLevel="0" max="12304" min="12304" style="42" width="11.43"/>
    <col collapsed="false" customWidth="true" hidden="false" outlineLevel="0" max="12305" min="12305" style="42" width="6.85"/>
    <col collapsed="false" customWidth="true" hidden="false" outlineLevel="0" max="12306" min="12306" style="42" width="16.29"/>
    <col collapsed="false" customWidth="false" hidden="false" outlineLevel="0" max="12543" min="12307" style="42" width="11.71"/>
    <col collapsed="false" customWidth="true" hidden="false" outlineLevel="0" max="12544" min="12544" style="42" width="12.71"/>
    <col collapsed="false" customWidth="true" hidden="false" outlineLevel="0" max="12545" min="12545" style="42" width="14.14"/>
    <col collapsed="false" customWidth="true" hidden="false" outlineLevel="0" max="12546" min="12546" style="42" width="22.57"/>
    <col collapsed="false" customWidth="true" hidden="false" outlineLevel="0" max="12547" min="12547" style="42" width="10"/>
    <col collapsed="false" customWidth="true" hidden="false" outlineLevel="0" max="12548" min="12548" style="42" width="12.86"/>
    <col collapsed="false" customWidth="true" hidden="false" outlineLevel="0" max="12549" min="12549" style="42" width="4"/>
    <col collapsed="false" customWidth="true" hidden="false" outlineLevel="0" max="12550" min="12550" style="42" width="17"/>
    <col collapsed="false" customWidth="true" hidden="false" outlineLevel="0" max="12551" min="12551" style="42" width="9.42"/>
    <col collapsed="false" customWidth="true" hidden="false" outlineLevel="0" max="12552" min="12552" style="42" width="11.43"/>
    <col collapsed="false" customWidth="true" hidden="false" outlineLevel="0" max="12553" min="12553" style="42" width="4.57"/>
    <col collapsed="false" customWidth="true" hidden="false" outlineLevel="0" max="12554" min="12554" style="42" width="17.15"/>
    <col collapsed="false" customWidth="true" hidden="false" outlineLevel="0" max="12555" min="12555" style="42" width="10"/>
    <col collapsed="false" customWidth="true" hidden="false" outlineLevel="0" max="12556" min="12556" style="42" width="11.43"/>
    <col collapsed="false" customWidth="true" hidden="false" outlineLevel="0" max="12557" min="12557" style="42" width="6.29"/>
    <col collapsed="false" customWidth="true" hidden="false" outlineLevel="0" max="12558" min="12558" style="42" width="24.29"/>
    <col collapsed="false" customWidth="true" hidden="false" outlineLevel="0" max="12559" min="12559" style="42" width="10"/>
    <col collapsed="false" customWidth="true" hidden="false" outlineLevel="0" max="12560" min="12560" style="42" width="11.43"/>
    <col collapsed="false" customWidth="true" hidden="false" outlineLevel="0" max="12561" min="12561" style="42" width="6.85"/>
    <col collapsed="false" customWidth="true" hidden="false" outlineLevel="0" max="12562" min="12562" style="42" width="16.29"/>
    <col collapsed="false" customWidth="false" hidden="false" outlineLevel="0" max="12799" min="12563" style="42" width="11.71"/>
    <col collapsed="false" customWidth="true" hidden="false" outlineLevel="0" max="12800" min="12800" style="42" width="12.71"/>
    <col collapsed="false" customWidth="true" hidden="false" outlineLevel="0" max="12801" min="12801" style="42" width="14.14"/>
    <col collapsed="false" customWidth="true" hidden="false" outlineLevel="0" max="12802" min="12802" style="42" width="22.57"/>
    <col collapsed="false" customWidth="true" hidden="false" outlineLevel="0" max="12803" min="12803" style="42" width="10"/>
    <col collapsed="false" customWidth="true" hidden="false" outlineLevel="0" max="12804" min="12804" style="42" width="12.86"/>
    <col collapsed="false" customWidth="true" hidden="false" outlineLevel="0" max="12805" min="12805" style="42" width="4"/>
    <col collapsed="false" customWidth="true" hidden="false" outlineLevel="0" max="12806" min="12806" style="42" width="17"/>
    <col collapsed="false" customWidth="true" hidden="false" outlineLevel="0" max="12807" min="12807" style="42" width="9.42"/>
    <col collapsed="false" customWidth="true" hidden="false" outlineLevel="0" max="12808" min="12808" style="42" width="11.43"/>
    <col collapsed="false" customWidth="true" hidden="false" outlineLevel="0" max="12809" min="12809" style="42" width="4.57"/>
    <col collapsed="false" customWidth="true" hidden="false" outlineLevel="0" max="12810" min="12810" style="42" width="17.15"/>
    <col collapsed="false" customWidth="true" hidden="false" outlineLevel="0" max="12811" min="12811" style="42" width="10"/>
    <col collapsed="false" customWidth="true" hidden="false" outlineLevel="0" max="12812" min="12812" style="42" width="11.43"/>
    <col collapsed="false" customWidth="true" hidden="false" outlineLevel="0" max="12813" min="12813" style="42" width="6.29"/>
    <col collapsed="false" customWidth="true" hidden="false" outlineLevel="0" max="12814" min="12814" style="42" width="24.29"/>
    <col collapsed="false" customWidth="true" hidden="false" outlineLevel="0" max="12815" min="12815" style="42" width="10"/>
    <col collapsed="false" customWidth="true" hidden="false" outlineLevel="0" max="12816" min="12816" style="42" width="11.43"/>
    <col collapsed="false" customWidth="true" hidden="false" outlineLevel="0" max="12817" min="12817" style="42" width="6.85"/>
    <col collapsed="false" customWidth="true" hidden="false" outlineLevel="0" max="12818" min="12818" style="42" width="16.29"/>
    <col collapsed="false" customWidth="false" hidden="false" outlineLevel="0" max="13055" min="12819" style="42" width="11.71"/>
    <col collapsed="false" customWidth="true" hidden="false" outlineLevel="0" max="13056" min="13056" style="42" width="12.71"/>
    <col collapsed="false" customWidth="true" hidden="false" outlineLevel="0" max="13057" min="13057" style="42" width="14.14"/>
    <col collapsed="false" customWidth="true" hidden="false" outlineLevel="0" max="13058" min="13058" style="42" width="22.57"/>
    <col collapsed="false" customWidth="true" hidden="false" outlineLevel="0" max="13059" min="13059" style="42" width="10"/>
    <col collapsed="false" customWidth="true" hidden="false" outlineLevel="0" max="13060" min="13060" style="42" width="12.86"/>
    <col collapsed="false" customWidth="true" hidden="false" outlineLevel="0" max="13061" min="13061" style="42" width="4"/>
    <col collapsed="false" customWidth="true" hidden="false" outlineLevel="0" max="13062" min="13062" style="42" width="17"/>
    <col collapsed="false" customWidth="true" hidden="false" outlineLevel="0" max="13063" min="13063" style="42" width="9.42"/>
    <col collapsed="false" customWidth="true" hidden="false" outlineLevel="0" max="13064" min="13064" style="42" width="11.43"/>
    <col collapsed="false" customWidth="true" hidden="false" outlineLevel="0" max="13065" min="13065" style="42" width="4.57"/>
    <col collapsed="false" customWidth="true" hidden="false" outlineLevel="0" max="13066" min="13066" style="42" width="17.15"/>
    <col collapsed="false" customWidth="true" hidden="false" outlineLevel="0" max="13067" min="13067" style="42" width="10"/>
    <col collapsed="false" customWidth="true" hidden="false" outlineLevel="0" max="13068" min="13068" style="42" width="11.43"/>
    <col collapsed="false" customWidth="true" hidden="false" outlineLevel="0" max="13069" min="13069" style="42" width="6.29"/>
    <col collapsed="false" customWidth="true" hidden="false" outlineLevel="0" max="13070" min="13070" style="42" width="24.29"/>
    <col collapsed="false" customWidth="true" hidden="false" outlineLevel="0" max="13071" min="13071" style="42" width="10"/>
    <col collapsed="false" customWidth="true" hidden="false" outlineLevel="0" max="13072" min="13072" style="42" width="11.43"/>
    <col collapsed="false" customWidth="true" hidden="false" outlineLevel="0" max="13073" min="13073" style="42" width="6.85"/>
    <col collapsed="false" customWidth="true" hidden="false" outlineLevel="0" max="13074" min="13074" style="42" width="16.29"/>
    <col collapsed="false" customWidth="false" hidden="false" outlineLevel="0" max="13311" min="13075" style="42" width="11.71"/>
    <col collapsed="false" customWidth="true" hidden="false" outlineLevel="0" max="13312" min="13312" style="42" width="12.71"/>
    <col collapsed="false" customWidth="true" hidden="false" outlineLevel="0" max="13313" min="13313" style="42" width="14.14"/>
    <col collapsed="false" customWidth="true" hidden="false" outlineLevel="0" max="13314" min="13314" style="42" width="22.57"/>
    <col collapsed="false" customWidth="true" hidden="false" outlineLevel="0" max="13315" min="13315" style="42" width="10"/>
    <col collapsed="false" customWidth="true" hidden="false" outlineLevel="0" max="13316" min="13316" style="42" width="12.86"/>
    <col collapsed="false" customWidth="true" hidden="false" outlineLevel="0" max="13317" min="13317" style="42" width="4"/>
    <col collapsed="false" customWidth="true" hidden="false" outlineLevel="0" max="13318" min="13318" style="42" width="17"/>
    <col collapsed="false" customWidth="true" hidden="false" outlineLevel="0" max="13319" min="13319" style="42" width="9.42"/>
    <col collapsed="false" customWidth="true" hidden="false" outlineLevel="0" max="13320" min="13320" style="42" width="11.43"/>
    <col collapsed="false" customWidth="true" hidden="false" outlineLevel="0" max="13321" min="13321" style="42" width="4.57"/>
    <col collapsed="false" customWidth="true" hidden="false" outlineLevel="0" max="13322" min="13322" style="42" width="17.15"/>
    <col collapsed="false" customWidth="true" hidden="false" outlineLevel="0" max="13323" min="13323" style="42" width="10"/>
    <col collapsed="false" customWidth="true" hidden="false" outlineLevel="0" max="13324" min="13324" style="42" width="11.43"/>
    <col collapsed="false" customWidth="true" hidden="false" outlineLevel="0" max="13325" min="13325" style="42" width="6.29"/>
    <col collapsed="false" customWidth="true" hidden="false" outlineLevel="0" max="13326" min="13326" style="42" width="24.29"/>
    <col collapsed="false" customWidth="true" hidden="false" outlineLevel="0" max="13327" min="13327" style="42" width="10"/>
    <col collapsed="false" customWidth="true" hidden="false" outlineLevel="0" max="13328" min="13328" style="42" width="11.43"/>
    <col collapsed="false" customWidth="true" hidden="false" outlineLevel="0" max="13329" min="13329" style="42" width="6.85"/>
    <col collapsed="false" customWidth="true" hidden="false" outlineLevel="0" max="13330" min="13330" style="42" width="16.29"/>
    <col collapsed="false" customWidth="false" hidden="false" outlineLevel="0" max="13567" min="13331" style="42" width="11.71"/>
    <col collapsed="false" customWidth="true" hidden="false" outlineLevel="0" max="13568" min="13568" style="42" width="12.71"/>
    <col collapsed="false" customWidth="true" hidden="false" outlineLevel="0" max="13569" min="13569" style="42" width="14.14"/>
    <col collapsed="false" customWidth="true" hidden="false" outlineLevel="0" max="13570" min="13570" style="42" width="22.57"/>
    <col collapsed="false" customWidth="true" hidden="false" outlineLevel="0" max="13571" min="13571" style="42" width="10"/>
    <col collapsed="false" customWidth="true" hidden="false" outlineLevel="0" max="13572" min="13572" style="42" width="12.86"/>
    <col collapsed="false" customWidth="true" hidden="false" outlineLevel="0" max="13573" min="13573" style="42" width="4"/>
    <col collapsed="false" customWidth="true" hidden="false" outlineLevel="0" max="13574" min="13574" style="42" width="17"/>
    <col collapsed="false" customWidth="true" hidden="false" outlineLevel="0" max="13575" min="13575" style="42" width="9.42"/>
    <col collapsed="false" customWidth="true" hidden="false" outlineLevel="0" max="13576" min="13576" style="42" width="11.43"/>
    <col collapsed="false" customWidth="true" hidden="false" outlineLevel="0" max="13577" min="13577" style="42" width="4.57"/>
    <col collapsed="false" customWidth="true" hidden="false" outlineLevel="0" max="13578" min="13578" style="42" width="17.15"/>
    <col collapsed="false" customWidth="true" hidden="false" outlineLevel="0" max="13579" min="13579" style="42" width="10"/>
    <col collapsed="false" customWidth="true" hidden="false" outlineLevel="0" max="13580" min="13580" style="42" width="11.43"/>
    <col collapsed="false" customWidth="true" hidden="false" outlineLevel="0" max="13581" min="13581" style="42" width="6.29"/>
    <col collapsed="false" customWidth="true" hidden="false" outlineLevel="0" max="13582" min="13582" style="42" width="24.29"/>
    <col collapsed="false" customWidth="true" hidden="false" outlineLevel="0" max="13583" min="13583" style="42" width="10"/>
    <col collapsed="false" customWidth="true" hidden="false" outlineLevel="0" max="13584" min="13584" style="42" width="11.43"/>
    <col collapsed="false" customWidth="true" hidden="false" outlineLevel="0" max="13585" min="13585" style="42" width="6.85"/>
    <col collapsed="false" customWidth="true" hidden="false" outlineLevel="0" max="13586" min="13586" style="42" width="16.29"/>
    <col collapsed="false" customWidth="false" hidden="false" outlineLevel="0" max="13823" min="13587" style="42" width="11.71"/>
    <col collapsed="false" customWidth="true" hidden="false" outlineLevel="0" max="13824" min="13824" style="42" width="12.71"/>
    <col collapsed="false" customWidth="true" hidden="false" outlineLevel="0" max="13825" min="13825" style="42" width="14.14"/>
    <col collapsed="false" customWidth="true" hidden="false" outlineLevel="0" max="13826" min="13826" style="42" width="22.57"/>
    <col collapsed="false" customWidth="true" hidden="false" outlineLevel="0" max="13827" min="13827" style="42" width="10"/>
    <col collapsed="false" customWidth="true" hidden="false" outlineLevel="0" max="13828" min="13828" style="42" width="12.86"/>
    <col collapsed="false" customWidth="true" hidden="false" outlineLevel="0" max="13829" min="13829" style="42" width="4"/>
    <col collapsed="false" customWidth="true" hidden="false" outlineLevel="0" max="13830" min="13830" style="42" width="17"/>
    <col collapsed="false" customWidth="true" hidden="false" outlineLevel="0" max="13831" min="13831" style="42" width="9.42"/>
    <col collapsed="false" customWidth="true" hidden="false" outlineLevel="0" max="13832" min="13832" style="42" width="11.43"/>
    <col collapsed="false" customWidth="true" hidden="false" outlineLevel="0" max="13833" min="13833" style="42" width="4.57"/>
    <col collapsed="false" customWidth="true" hidden="false" outlineLevel="0" max="13834" min="13834" style="42" width="17.15"/>
    <col collapsed="false" customWidth="true" hidden="false" outlineLevel="0" max="13835" min="13835" style="42" width="10"/>
    <col collapsed="false" customWidth="true" hidden="false" outlineLevel="0" max="13836" min="13836" style="42" width="11.43"/>
    <col collapsed="false" customWidth="true" hidden="false" outlineLevel="0" max="13837" min="13837" style="42" width="6.29"/>
    <col collapsed="false" customWidth="true" hidden="false" outlineLevel="0" max="13838" min="13838" style="42" width="24.29"/>
    <col collapsed="false" customWidth="true" hidden="false" outlineLevel="0" max="13839" min="13839" style="42" width="10"/>
    <col collapsed="false" customWidth="true" hidden="false" outlineLevel="0" max="13840" min="13840" style="42" width="11.43"/>
    <col collapsed="false" customWidth="true" hidden="false" outlineLevel="0" max="13841" min="13841" style="42" width="6.85"/>
    <col collapsed="false" customWidth="true" hidden="false" outlineLevel="0" max="13842" min="13842" style="42" width="16.29"/>
    <col collapsed="false" customWidth="false" hidden="false" outlineLevel="0" max="14079" min="13843" style="42" width="11.71"/>
    <col collapsed="false" customWidth="true" hidden="false" outlineLevel="0" max="14080" min="14080" style="42" width="12.71"/>
    <col collapsed="false" customWidth="true" hidden="false" outlineLevel="0" max="14081" min="14081" style="42" width="14.14"/>
    <col collapsed="false" customWidth="true" hidden="false" outlineLevel="0" max="14082" min="14082" style="42" width="22.57"/>
    <col collapsed="false" customWidth="true" hidden="false" outlineLevel="0" max="14083" min="14083" style="42" width="10"/>
    <col collapsed="false" customWidth="true" hidden="false" outlineLevel="0" max="14084" min="14084" style="42" width="12.86"/>
    <col collapsed="false" customWidth="true" hidden="false" outlineLevel="0" max="14085" min="14085" style="42" width="4"/>
    <col collapsed="false" customWidth="true" hidden="false" outlineLevel="0" max="14086" min="14086" style="42" width="17"/>
    <col collapsed="false" customWidth="true" hidden="false" outlineLevel="0" max="14087" min="14087" style="42" width="9.42"/>
    <col collapsed="false" customWidth="true" hidden="false" outlineLevel="0" max="14088" min="14088" style="42" width="11.43"/>
    <col collapsed="false" customWidth="true" hidden="false" outlineLevel="0" max="14089" min="14089" style="42" width="4.57"/>
    <col collapsed="false" customWidth="true" hidden="false" outlineLevel="0" max="14090" min="14090" style="42" width="17.15"/>
    <col collapsed="false" customWidth="true" hidden="false" outlineLevel="0" max="14091" min="14091" style="42" width="10"/>
    <col collapsed="false" customWidth="true" hidden="false" outlineLevel="0" max="14092" min="14092" style="42" width="11.43"/>
    <col collapsed="false" customWidth="true" hidden="false" outlineLevel="0" max="14093" min="14093" style="42" width="6.29"/>
    <col collapsed="false" customWidth="true" hidden="false" outlineLevel="0" max="14094" min="14094" style="42" width="24.29"/>
    <col collapsed="false" customWidth="true" hidden="false" outlineLevel="0" max="14095" min="14095" style="42" width="10"/>
    <col collapsed="false" customWidth="true" hidden="false" outlineLevel="0" max="14096" min="14096" style="42" width="11.43"/>
    <col collapsed="false" customWidth="true" hidden="false" outlineLevel="0" max="14097" min="14097" style="42" width="6.85"/>
    <col collapsed="false" customWidth="true" hidden="false" outlineLevel="0" max="14098" min="14098" style="42" width="16.29"/>
    <col collapsed="false" customWidth="false" hidden="false" outlineLevel="0" max="14335" min="14099" style="42" width="11.71"/>
    <col collapsed="false" customWidth="true" hidden="false" outlineLevel="0" max="14336" min="14336" style="42" width="12.71"/>
    <col collapsed="false" customWidth="true" hidden="false" outlineLevel="0" max="14337" min="14337" style="42" width="14.14"/>
    <col collapsed="false" customWidth="true" hidden="false" outlineLevel="0" max="14338" min="14338" style="42" width="22.57"/>
    <col collapsed="false" customWidth="true" hidden="false" outlineLevel="0" max="14339" min="14339" style="42" width="10"/>
    <col collapsed="false" customWidth="true" hidden="false" outlineLevel="0" max="14340" min="14340" style="42" width="12.86"/>
    <col collapsed="false" customWidth="true" hidden="false" outlineLevel="0" max="14341" min="14341" style="42" width="4"/>
    <col collapsed="false" customWidth="true" hidden="false" outlineLevel="0" max="14342" min="14342" style="42" width="17"/>
    <col collapsed="false" customWidth="true" hidden="false" outlineLevel="0" max="14343" min="14343" style="42" width="9.42"/>
    <col collapsed="false" customWidth="true" hidden="false" outlineLevel="0" max="14344" min="14344" style="42" width="11.43"/>
    <col collapsed="false" customWidth="true" hidden="false" outlineLevel="0" max="14345" min="14345" style="42" width="4.57"/>
    <col collapsed="false" customWidth="true" hidden="false" outlineLevel="0" max="14346" min="14346" style="42" width="17.15"/>
    <col collapsed="false" customWidth="true" hidden="false" outlineLevel="0" max="14347" min="14347" style="42" width="10"/>
    <col collapsed="false" customWidth="true" hidden="false" outlineLevel="0" max="14348" min="14348" style="42" width="11.43"/>
    <col collapsed="false" customWidth="true" hidden="false" outlineLevel="0" max="14349" min="14349" style="42" width="6.29"/>
    <col collapsed="false" customWidth="true" hidden="false" outlineLevel="0" max="14350" min="14350" style="42" width="24.29"/>
    <col collapsed="false" customWidth="true" hidden="false" outlineLevel="0" max="14351" min="14351" style="42" width="10"/>
    <col collapsed="false" customWidth="true" hidden="false" outlineLevel="0" max="14352" min="14352" style="42" width="11.43"/>
    <col collapsed="false" customWidth="true" hidden="false" outlineLevel="0" max="14353" min="14353" style="42" width="6.85"/>
    <col collapsed="false" customWidth="true" hidden="false" outlineLevel="0" max="14354" min="14354" style="42" width="16.29"/>
    <col collapsed="false" customWidth="false" hidden="false" outlineLevel="0" max="14591" min="14355" style="42" width="11.71"/>
    <col collapsed="false" customWidth="true" hidden="false" outlineLevel="0" max="14592" min="14592" style="42" width="12.71"/>
    <col collapsed="false" customWidth="true" hidden="false" outlineLevel="0" max="14593" min="14593" style="42" width="14.14"/>
    <col collapsed="false" customWidth="true" hidden="false" outlineLevel="0" max="14594" min="14594" style="42" width="22.57"/>
    <col collapsed="false" customWidth="true" hidden="false" outlineLevel="0" max="14595" min="14595" style="42" width="10"/>
    <col collapsed="false" customWidth="true" hidden="false" outlineLevel="0" max="14596" min="14596" style="42" width="12.86"/>
    <col collapsed="false" customWidth="true" hidden="false" outlineLevel="0" max="14597" min="14597" style="42" width="4"/>
    <col collapsed="false" customWidth="true" hidden="false" outlineLevel="0" max="14598" min="14598" style="42" width="17"/>
    <col collapsed="false" customWidth="true" hidden="false" outlineLevel="0" max="14599" min="14599" style="42" width="9.42"/>
    <col collapsed="false" customWidth="true" hidden="false" outlineLevel="0" max="14600" min="14600" style="42" width="11.43"/>
    <col collapsed="false" customWidth="true" hidden="false" outlineLevel="0" max="14601" min="14601" style="42" width="4.57"/>
    <col collapsed="false" customWidth="true" hidden="false" outlineLevel="0" max="14602" min="14602" style="42" width="17.15"/>
    <col collapsed="false" customWidth="true" hidden="false" outlineLevel="0" max="14603" min="14603" style="42" width="10"/>
    <col collapsed="false" customWidth="true" hidden="false" outlineLevel="0" max="14604" min="14604" style="42" width="11.43"/>
    <col collapsed="false" customWidth="true" hidden="false" outlineLevel="0" max="14605" min="14605" style="42" width="6.29"/>
    <col collapsed="false" customWidth="true" hidden="false" outlineLevel="0" max="14606" min="14606" style="42" width="24.29"/>
    <col collapsed="false" customWidth="true" hidden="false" outlineLevel="0" max="14607" min="14607" style="42" width="10"/>
    <col collapsed="false" customWidth="true" hidden="false" outlineLevel="0" max="14608" min="14608" style="42" width="11.43"/>
    <col collapsed="false" customWidth="true" hidden="false" outlineLevel="0" max="14609" min="14609" style="42" width="6.85"/>
    <col collapsed="false" customWidth="true" hidden="false" outlineLevel="0" max="14610" min="14610" style="42" width="16.29"/>
    <col collapsed="false" customWidth="false" hidden="false" outlineLevel="0" max="14847" min="14611" style="42" width="11.71"/>
    <col collapsed="false" customWidth="true" hidden="false" outlineLevel="0" max="14848" min="14848" style="42" width="12.71"/>
    <col collapsed="false" customWidth="true" hidden="false" outlineLevel="0" max="14849" min="14849" style="42" width="14.14"/>
    <col collapsed="false" customWidth="true" hidden="false" outlineLevel="0" max="14850" min="14850" style="42" width="22.57"/>
    <col collapsed="false" customWidth="true" hidden="false" outlineLevel="0" max="14851" min="14851" style="42" width="10"/>
    <col collapsed="false" customWidth="true" hidden="false" outlineLevel="0" max="14852" min="14852" style="42" width="12.86"/>
    <col collapsed="false" customWidth="true" hidden="false" outlineLevel="0" max="14853" min="14853" style="42" width="4"/>
    <col collapsed="false" customWidth="true" hidden="false" outlineLevel="0" max="14854" min="14854" style="42" width="17"/>
    <col collapsed="false" customWidth="true" hidden="false" outlineLevel="0" max="14855" min="14855" style="42" width="9.42"/>
    <col collapsed="false" customWidth="true" hidden="false" outlineLevel="0" max="14856" min="14856" style="42" width="11.43"/>
    <col collapsed="false" customWidth="true" hidden="false" outlineLevel="0" max="14857" min="14857" style="42" width="4.57"/>
    <col collapsed="false" customWidth="true" hidden="false" outlineLevel="0" max="14858" min="14858" style="42" width="17.15"/>
    <col collapsed="false" customWidth="true" hidden="false" outlineLevel="0" max="14859" min="14859" style="42" width="10"/>
    <col collapsed="false" customWidth="true" hidden="false" outlineLevel="0" max="14860" min="14860" style="42" width="11.43"/>
    <col collapsed="false" customWidth="true" hidden="false" outlineLevel="0" max="14861" min="14861" style="42" width="6.29"/>
    <col collapsed="false" customWidth="true" hidden="false" outlineLevel="0" max="14862" min="14862" style="42" width="24.29"/>
    <col collapsed="false" customWidth="true" hidden="false" outlineLevel="0" max="14863" min="14863" style="42" width="10"/>
    <col collapsed="false" customWidth="true" hidden="false" outlineLevel="0" max="14864" min="14864" style="42" width="11.43"/>
    <col collapsed="false" customWidth="true" hidden="false" outlineLevel="0" max="14865" min="14865" style="42" width="6.85"/>
    <col collapsed="false" customWidth="true" hidden="false" outlineLevel="0" max="14866" min="14866" style="42" width="16.29"/>
    <col collapsed="false" customWidth="false" hidden="false" outlineLevel="0" max="15103" min="14867" style="42" width="11.71"/>
    <col collapsed="false" customWidth="true" hidden="false" outlineLevel="0" max="15104" min="15104" style="42" width="12.71"/>
    <col collapsed="false" customWidth="true" hidden="false" outlineLevel="0" max="15105" min="15105" style="42" width="14.14"/>
    <col collapsed="false" customWidth="true" hidden="false" outlineLevel="0" max="15106" min="15106" style="42" width="22.57"/>
    <col collapsed="false" customWidth="true" hidden="false" outlineLevel="0" max="15107" min="15107" style="42" width="10"/>
    <col collapsed="false" customWidth="true" hidden="false" outlineLevel="0" max="15108" min="15108" style="42" width="12.86"/>
    <col collapsed="false" customWidth="true" hidden="false" outlineLevel="0" max="15109" min="15109" style="42" width="4"/>
    <col collapsed="false" customWidth="true" hidden="false" outlineLevel="0" max="15110" min="15110" style="42" width="17"/>
    <col collapsed="false" customWidth="true" hidden="false" outlineLevel="0" max="15111" min="15111" style="42" width="9.42"/>
    <col collapsed="false" customWidth="true" hidden="false" outlineLevel="0" max="15112" min="15112" style="42" width="11.43"/>
    <col collapsed="false" customWidth="true" hidden="false" outlineLevel="0" max="15113" min="15113" style="42" width="4.57"/>
    <col collapsed="false" customWidth="true" hidden="false" outlineLevel="0" max="15114" min="15114" style="42" width="17.15"/>
    <col collapsed="false" customWidth="true" hidden="false" outlineLevel="0" max="15115" min="15115" style="42" width="10"/>
    <col collapsed="false" customWidth="true" hidden="false" outlineLevel="0" max="15116" min="15116" style="42" width="11.43"/>
    <col collapsed="false" customWidth="true" hidden="false" outlineLevel="0" max="15117" min="15117" style="42" width="6.29"/>
    <col collapsed="false" customWidth="true" hidden="false" outlineLevel="0" max="15118" min="15118" style="42" width="24.29"/>
    <col collapsed="false" customWidth="true" hidden="false" outlineLevel="0" max="15119" min="15119" style="42" width="10"/>
    <col collapsed="false" customWidth="true" hidden="false" outlineLevel="0" max="15120" min="15120" style="42" width="11.43"/>
    <col collapsed="false" customWidth="true" hidden="false" outlineLevel="0" max="15121" min="15121" style="42" width="6.85"/>
    <col collapsed="false" customWidth="true" hidden="false" outlineLevel="0" max="15122" min="15122" style="42" width="16.29"/>
    <col collapsed="false" customWidth="false" hidden="false" outlineLevel="0" max="15359" min="15123" style="42" width="11.71"/>
    <col collapsed="false" customWidth="true" hidden="false" outlineLevel="0" max="15360" min="15360" style="42" width="12.71"/>
    <col collapsed="false" customWidth="true" hidden="false" outlineLevel="0" max="15361" min="15361" style="42" width="14.14"/>
    <col collapsed="false" customWidth="true" hidden="false" outlineLevel="0" max="15362" min="15362" style="42" width="22.57"/>
    <col collapsed="false" customWidth="true" hidden="false" outlineLevel="0" max="15363" min="15363" style="42" width="10"/>
    <col collapsed="false" customWidth="true" hidden="false" outlineLevel="0" max="15364" min="15364" style="42" width="12.86"/>
    <col collapsed="false" customWidth="true" hidden="false" outlineLevel="0" max="15365" min="15365" style="42" width="4"/>
    <col collapsed="false" customWidth="true" hidden="false" outlineLevel="0" max="15366" min="15366" style="42" width="17"/>
    <col collapsed="false" customWidth="true" hidden="false" outlineLevel="0" max="15367" min="15367" style="42" width="9.42"/>
    <col collapsed="false" customWidth="true" hidden="false" outlineLevel="0" max="15368" min="15368" style="42" width="11.43"/>
    <col collapsed="false" customWidth="true" hidden="false" outlineLevel="0" max="15369" min="15369" style="42" width="4.57"/>
    <col collapsed="false" customWidth="true" hidden="false" outlineLevel="0" max="15370" min="15370" style="42" width="17.15"/>
    <col collapsed="false" customWidth="true" hidden="false" outlineLevel="0" max="15371" min="15371" style="42" width="10"/>
    <col collapsed="false" customWidth="true" hidden="false" outlineLevel="0" max="15372" min="15372" style="42" width="11.43"/>
    <col collapsed="false" customWidth="true" hidden="false" outlineLevel="0" max="15373" min="15373" style="42" width="6.29"/>
    <col collapsed="false" customWidth="true" hidden="false" outlineLevel="0" max="15374" min="15374" style="42" width="24.29"/>
    <col collapsed="false" customWidth="true" hidden="false" outlineLevel="0" max="15375" min="15375" style="42" width="10"/>
    <col collapsed="false" customWidth="true" hidden="false" outlineLevel="0" max="15376" min="15376" style="42" width="11.43"/>
    <col collapsed="false" customWidth="true" hidden="false" outlineLevel="0" max="15377" min="15377" style="42" width="6.85"/>
    <col collapsed="false" customWidth="true" hidden="false" outlineLevel="0" max="15378" min="15378" style="42" width="16.29"/>
    <col collapsed="false" customWidth="false" hidden="false" outlineLevel="0" max="15615" min="15379" style="42" width="11.71"/>
    <col collapsed="false" customWidth="true" hidden="false" outlineLevel="0" max="15616" min="15616" style="42" width="12.71"/>
    <col collapsed="false" customWidth="true" hidden="false" outlineLevel="0" max="15617" min="15617" style="42" width="14.14"/>
    <col collapsed="false" customWidth="true" hidden="false" outlineLevel="0" max="15618" min="15618" style="42" width="22.57"/>
    <col collapsed="false" customWidth="true" hidden="false" outlineLevel="0" max="15619" min="15619" style="42" width="10"/>
    <col collapsed="false" customWidth="true" hidden="false" outlineLevel="0" max="15620" min="15620" style="42" width="12.86"/>
    <col collapsed="false" customWidth="true" hidden="false" outlineLevel="0" max="15621" min="15621" style="42" width="4"/>
    <col collapsed="false" customWidth="true" hidden="false" outlineLevel="0" max="15622" min="15622" style="42" width="17"/>
    <col collapsed="false" customWidth="true" hidden="false" outlineLevel="0" max="15623" min="15623" style="42" width="9.42"/>
    <col collapsed="false" customWidth="true" hidden="false" outlineLevel="0" max="15624" min="15624" style="42" width="11.43"/>
    <col collapsed="false" customWidth="true" hidden="false" outlineLevel="0" max="15625" min="15625" style="42" width="4.57"/>
    <col collapsed="false" customWidth="true" hidden="false" outlineLevel="0" max="15626" min="15626" style="42" width="17.15"/>
    <col collapsed="false" customWidth="true" hidden="false" outlineLevel="0" max="15627" min="15627" style="42" width="10"/>
    <col collapsed="false" customWidth="true" hidden="false" outlineLevel="0" max="15628" min="15628" style="42" width="11.43"/>
    <col collapsed="false" customWidth="true" hidden="false" outlineLevel="0" max="15629" min="15629" style="42" width="6.29"/>
    <col collapsed="false" customWidth="true" hidden="false" outlineLevel="0" max="15630" min="15630" style="42" width="24.29"/>
    <col collapsed="false" customWidth="true" hidden="false" outlineLevel="0" max="15631" min="15631" style="42" width="10"/>
    <col collapsed="false" customWidth="true" hidden="false" outlineLevel="0" max="15632" min="15632" style="42" width="11.43"/>
    <col collapsed="false" customWidth="true" hidden="false" outlineLevel="0" max="15633" min="15633" style="42" width="6.85"/>
    <col collapsed="false" customWidth="true" hidden="false" outlineLevel="0" max="15634" min="15634" style="42" width="16.29"/>
    <col collapsed="false" customWidth="false" hidden="false" outlineLevel="0" max="15871" min="15635" style="42" width="11.71"/>
    <col collapsed="false" customWidth="true" hidden="false" outlineLevel="0" max="15872" min="15872" style="42" width="12.71"/>
    <col collapsed="false" customWidth="true" hidden="false" outlineLevel="0" max="15873" min="15873" style="42" width="14.14"/>
    <col collapsed="false" customWidth="true" hidden="false" outlineLevel="0" max="15874" min="15874" style="42" width="22.57"/>
    <col collapsed="false" customWidth="true" hidden="false" outlineLevel="0" max="15875" min="15875" style="42" width="10"/>
    <col collapsed="false" customWidth="true" hidden="false" outlineLevel="0" max="15876" min="15876" style="42" width="12.86"/>
    <col collapsed="false" customWidth="true" hidden="false" outlineLevel="0" max="15877" min="15877" style="42" width="4"/>
    <col collapsed="false" customWidth="true" hidden="false" outlineLevel="0" max="15878" min="15878" style="42" width="17"/>
    <col collapsed="false" customWidth="true" hidden="false" outlineLevel="0" max="15879" min="15879" style="42" width="9.42"/>
    <col collapsed="false" customWidth="true" hidden="false" outlineLevel="0" max="15880" min="15880" style="42" width="11.43"/>
    <col collapsed="false" customWidth="true" hidden="false" outlineLevel="0" max="15881" min="15881" style="42" width="4.57"/>
    <col collapsed="false" customWidth="true" hidden="false" outlineLevel="0" max="15882" min="15882" style="42" width="17.15"/>
    <col collapsed="false" customWidth="true" hidden="false" outlineLevel="0" max="15883" min="15883" style="42" width="10"/>
    <col collapsed="false" customWidth="true" hidden="false" outlineLevel="0" max="15884" min="15884" style="42" width="11.43"/>
    <col collapsed="false" customWidth="true" hidden="false" outlineLevel="0" max="15885" min="15885" style="42" width="6.29"/>
    <col collapsed="false" customWidth="true" hidden="false" outlineLevel="0" max="15886" min="15886" style="42" width="24.29"/>
    <col collapsed="false" customWidth="true" hidden="false" outlineLevel="0" max="15887" min="15887" style="42" width="10"/>
    <col collapsed="false" customWidth="true" hidden="false" outlineLevel="0" max="15888" min="15888" style="42" width="11.43"/>
    <col collapsed="false" customWidth="true" hidden="false" outlineLevel="0" max="15889" min="15889" style="42" width="6.85"/>
    <col collapsed="false" customWidth="true" hidden="false" outlineLevel="0" max="15890" min="15890" style="42" width="16.29"/>
    <col collapsed="false" customWidth="false" hidden="false" outlineLevel="0" max="16127" min="15891" style="42" width="11.71"/>
    <col collapsed="false" customWidth="true" hidden="false" outlineLevel="0" max="16128" min="16128" style="42" width="12.71"/>
    <col collapsed="false" customWidth="true" hidden="false" outlineLevel="0" max="16129" min="16129" style="42" width="14.14"/>
    <col collapsed="false" customWidth="true" hidden="false" outlineLevel="0" max="16130" min="16130" style="42" width="22.57"/>
    <col collapsed="false" customWidth="true" hidden="false" outlineLevel="0" max="16131" min="16131" style="42" width="10"/>
    <col collapsed="false" customWidth="true" hidden="false" outlineLevel="0" max="16132" min="16132" style="42" width="12.86"/>
    <col collapsed="false" customWidth="true" hidden="false" outlineLevel="0" max="16133" min="16133" style="42" width="4"/>
    <col collapsed="false" customWidth="true" hidden="false" outlineLevel="0" max="16134" min="16134" style="42" width="17"/>
    <col collapsed="false" customWidth="true" hidden="false" outlineLevel="0" max="16135" min="16135" style="42" width="9.42"/>
    <col collapsed="false" customWidth="true" hidden="false" outlineLevel="0" max="16136" min="16136" style="42" width="11.43"/>
    <col collapsed="false" customWidth="true" hidden="false" outlineLevel="0" max="16137" min="16137" style="42" width="4.57"/>
    <col collapsed="false" customWidth="true" hidden="false" outlineLevel="0" max="16138" min="16138" style="42" width="17.15"/>
    <col collapsed="false" customWidth="true" hidden="false" outlineLevel="0" max="16139" min="16139" style="42" width="10"/>
    <col collapsed="false" customWidth="true" hidden="false" outlineLevel="0" max="16140" min="16140" style="42" width="11.43"/>
    <col collapsed="false" customWidth="true" hidden="false" outlineLevel="0" max="16141" min="16141" style="42" width="6.29"/>
    <col collapsed="false" customWidth="true" hidden="false" outlineLevel="0" max="16142" min="16142" style="42" width="24.29"/>
    <col collapsed="false" customWidth="true" hidden="false" outlineLevel="0" max="16143" min="16143" style="42" width="10"/>
    <col collapsed="false" customWidth="true" hidden="false" outlineLevel="0" max="16144" min="16144" style="42" width="11.43"/>
    <col collapsed="false" customWidth="true" hidden="false" outlineLevel="0" max="16145" min="16145" style="42" width="6.85"/>
    <col collapsed="false" customWidth="true" hidden="false" outlineLevel="0" max="16146" min="16146" style="42" width="16.29"/>
    <col collapsed="false" customWidth="false" hidden="false" outlineLevel="0" max="16384" min="16147" style="42" width="11.71"/>
  </cols>
  <sheetData>
    <row r="1" s="44" customFormat="true" ht="7.5" hidden="false" customHeight="true" outlineLevel="0" collapsed="false">
      <c r="A1" s="43"/>
      <c r="B1" s="167"/>
      <c r="C1" s="113"/>
      <c r="D1" s="167"/>
      <c r="E1" s="113"/>
      <c r="F1" s="43"/>
      <c r="G1" s="43"/>
      <c r="H1" s="43"/>
      <c r="I1" s="113"/>
      <c r="J1" s="113"/>
      <c r="K1" s="43"/>
      <c r="L1" s="43"/>
      <c r="M1" s="43"/>
      <c r="N1" s="43" t="s">
        <v>285</v>
      </c>
      <c r="O1" s="43"/>
      <c r="P1" s="43"/>
      <c r="Q1" s="43"/>
      <c r="R1" s="43"/>
      <c r="S1" s="43"/>
      <c r="T1" s="43"/>
      <c r="U1" s="43"/>
      <c r="V1" s="43"/>
      <c r="IO1" s="166"/>
      <c r="IP1" s="166"/>
      <c r="IQ1" s="166"/>
      <c r="IR1" s="166"/>
    </row>
    <row r="2" customFormat="false" ht="20.85" hidden="false" customHeight="false" outlineLevel="0" collapsed="false">
      <c r="A2" s="12"/>
      <c r="B2" s="192" t="s">
        <v>263</v>
      </c>
      <c r="F2" s="192" t="s">
        <v>264</v>
      </c>
      <c r="J2" s="192" t="s">
        <v>265</v>
      </c>
      <c r="N2" s="192" t="s">
        <v>266</v>
      </c>
      <c r="R2" s="192" t="s">
        <v>267</v>
      </c>
    </row>
    <row r="3" customFormat="false" ht="15" hidden="false" customHeight="false" outlineLevel="0" collapsed="false">
      <c r="A3" s="12"/>
      <c r="B3" s="169" t="s">
        <v>286</v>
      </c>
      <c r="C3" s="170" t="s">
        <v>287</v>
      </c>
      <c r="D3" s="169" t="s">
        <v>270</v>
      </c>
      <c r="F3" s="169" t="s">
        <v>286</v>
      </c>
      <c r="G3" s="170" t="s">
        <v>287</v>
      </c>
      <c r="H3" s="170" t="s">
        <v>270</v>
      </c>
      <c r="J3" s="170" t="s">
        <v>268</v>
      </c>
      <c r="K3" s="170" t="s">
        <v>287</v>
      </c>
      <c r="L3" s="170" t="s">
        <v>270</v>
      </c>
      <c r="N3" s="170" t="s">
        <v>268</v>
      </c>
      <c r="O3" s="170" t="s">
        <v>287</v>
      </c>
      <c r="P3" s="170" t="s">
        <v>270</v>
      </c>
      <c r="R3" s="170" t="s">
        <v>288</v>
      </c>
      <c r="S3" s="170" t="s">
        <v>287</v>
      </c>
      <c r="T3" s="170" t="s">
        <v>270</v>
      </c>
    </row>
    <row r="4" customFormat="false" ht="6.75" hidden="false" customHeight="true" outlineLevel="0" collapsed="false">
      <c r="A4" s="12"/>
      <c r="B4" s="171"/>
      <c r="C4" s="172"/>
      <c r="D4" s="173"/>
      <c r="F4" s="193"/>
      <c r="G4" s="172"/>
      <c r="H4" s="172"/>
      <c r="J4" s="193"/>
      <c r="K4" s="172"/>
      <c r="L4" s="172"/>
      <c r="N4" s="193"/>
      <c r="O4" s="172"/>
      <c r="P4" s="172"/>
      <c r="R4" s="193"/>
      <c r="S4" s="172"/>
      <c r="T4" s="172"/>
    </row>
    <row r="5" customFormat="false" ht="15" hidden="false" customHeight="false" outlineLevel="0" collapsed="false">
      <c r="A5" s="12"/>
      <c r="B5" s="174" t="str">
        <f aca="false">'Datasize-Parameters'!$C$4</f>
        <v>Account</v>
      </c>
      <c r="C5" s="175" t="n">
        <f aca="false">'Customer Volumes'!D5*'Customer Volumes'!D14*0.3</f>
        <v>15471924.6</v>
      </c>
      <c r="D5" s="176" t="n">
        <f aca="false">C5*'Datasize-Parameters'!$D$24/(1024*1024)</f>
        <v>3777.32534179688</v>
      </c>
      <c r="F5" s="174" t="str">
        <f aca="false">'Datasize-Parameters'!$C$4</f>
        <v>Account</v>
      </c>
      <c r="G5" s="175" t="n">
        <f aca="false">'Customer Volumes'!E5*'Customer Volumes'!E14*0.3</f>
        <v>17019117.06</v>
      </c>
      <c r="H5" s="176" t="n">
        <f aca="false">G5*'Datasize-Parameters'!$D$24/(1024*1024)</f>
        <v>4155.05787597656</v>
      </c>
      <c r="J5" s="174" t="str">
        <f aca="false">'Datasize-Parameters'!$C$4</f>
        <v>Account</v>
      </c>
      <c r="K5" s="175" t="n">
        <f aca="false">'Customer Volumes'!F5*'Customer Volumes'!F14*0.3</f>
        <v>18721028.766</v>
      </c>
      <c r="L5" s="176" t="n">
        <f aca="false">K5*'Datasize-Parameters'!$D$24/(1024*1024)</f>
        <v>4570.56366357422</v>
      </c>
      <c r="N5" s="174" t="str">
        <f aca="false">'Datasize-Parameters'!$C$4</f>
        <v>Account</v>
      </c>
      <c r="O5" s="175" t="n">
        <f aca="false">'Customer Volumes'!G5*'Customer Volumes'!G14*0.3</f>
        <v>20593131.6426</v>
      </c>
      <c r="P5" s="176" t="n">
        <f aca="false">O5*'Datasize-Parameters'!$D$24/(1024*1024)</f>
        <v>5027.62002993164</v>
      </c>
      <c r="R5" s="174" t="str">
        <f aca="false">'Datasize-Parameters'!$C$4</f>
        <v>Account</v>
      </c>
      <c r="S5" s="175" t="n">
        <f aca="false">'Customer Volumes'!H5*'Customer Volumes'!H14*0.3</f>
        <v>22652444.80686</v>
      </c>
      <c r="T5" s="176" t="n">
        <f aca="false">S5*'Datasize-Parameters'!$D$24/(1024*1024)</f>
        <v>5530.38203292481</v>
      </c>
    </row>
    <row r="6" customFormat="false" ht="15" hidden="false" customHeight="false" outlineLevel="0" collapsed="false">
      <c r="A6" s="12"/>
      <c r="B6" s="174" t="str">
        <f aca="false">'Datasize-Parameters'!$C$5</f>
        <v>Lead</v>
      </c>
      <c r="C6" s="175" t="n">
        <f aca="false">'Customer Volumes'!D7*'Customer Volumes'!D15*0.3</f>
        <v>6420000</v>
      </c>
      <c r="D6" s="176" t="n">
        <f aca="false">C6*'Datasize-Parameters'!$D$24/(1024*1024)</f>
        <v>1567.3828125</v>
      </c>
      <c r="F6" s="174" t="str">
        <f aca="false">'Datasize-Parameters'!$C$5</f>
        <v>Lead</v>
      </c>
      <c r="G6" s="175" t="n">
        <f aca="false">'Customer Volumes'!E7*'Customer Volumes'!E15*0.3</f>
        <v>7062000</v>
      </c>
      <c r="H6" s="176" t="n">
        <f aca="false">G6*'Datasize-Parameters'!$D$24/(1024*1024)</f>
        <v>1724.12109375</v>
      </c>
      <c r="J6" s="174" t="str">
        <f aca="false">'Datasize-Parameters'!$C$5</f>
        <v>Lead</v>
      </c>
      <c r="K6" s="175" t="n">
        <f aca="false">'Customer Volumes'!F7*'Customer Volumes'!F15*0.3</f>
        <v>7768200</v>
      </c>
      <c r="L6" s="176" t="n">
        <f aca="false">K6*'Datasize-Parameters'!$D$24/(1024*1024)</f>
        <v>1896.533203125</v>
      </c>
      <c r="N6" s="174" t="str">
        <f aca="false">'Datasize-Parameters'!$C$5</f>
        <v>Lead</v>
      </c>
      <c r="O6" s="175" t="n">
        <f aca="false">'Customer Volumes'!G7*'Customer Volumes'!G15*0.3</f>
        <v>8545020</v>
      </c>
      <c r="P6" s="176" t="n">
        <f aca="false">O6*'Datasize-Parameters'!$D$24/(1024*1024)</f>
        <v>2086.1865234375</v>
      </c>
      <c r="R6" s="174" t="str">
        <f aca="false">'Datasize-Parameters'!$C$5</f>
        <v>Lead</v>
      </c>
      <c r="S6" s="175" t="n">
        <f aca="false">'Customer Volumes'!H7*'Customer Volumes'!H15*0.3</f>
        <v>9399522</v>
      </c>
      <c r="T6" s="176" t="n">
        <f aca="false">S6*'Datasize-Parameters'!$D$24/(1024*1024)</f>
        <v>2294.80517578125</v>
      </c>
    </row>
    <row r="7" customFormat="false" ht="15" hidden="false" customHeight="false" outlineLevel="0" collapsed="false">
      <c r="A7" s="12"/>
      <c r="B7" s="174" t="str">
        <f aca="false">'Datasize-Parameters'!$C$6</f>
        <v>Service Request (Case)</v>
      </c>
      <c r="C7" s="175" t="n">
        <f aca="false">'Customer Volumes'!D9*'Customer Volumes'!D16</f>
        <v>20000</v>
      </c>
      <c r="D7" s="176" t="n">
        <f aca="false">C7*'Datasize-Parameters'!$D$24/(1024*1024)</f>
        <v>4.8828125</v>
      </c>
      <c r="F7" s="174" t="str">
        <f aca="false">'Datasize-Parameters'!$C$6</f>
        <v>Service Request (Case)</v>
      </c>
      <c r="G7" s="175" t="n">
        <f aca="false">'Customer Volumes'!E9*'Customer Volumes'!E16</f>
        <v>21000</v>
      </c>
      <c r="H7" s="176" t="n">
        <f aca="false">G7*'Datasize-Parameters'!$D$24/(1024*1024)</f>
        <v>5.126953125</v>
      </c>
      <c r="J7" s="174" t="str">
        <f aca="false">'Datasize-Parameters'!$C$6</f>
        <v>Service Request (Case)</v>
      </c>
      <c r="K7" s="175" t="n">
        <f aca="false">'Customer Volumes'!F9*'Customer Volumes'!F16</f>
        <v>22050</v>
      </c>
      <c r="L7" s="176" t="n">
        <f aca="false">K7*'Datasize-Parameters'!$D$24/(1024*1024)</f>
        <v>5.38330078125</v>
      </c>
      <c r="N7" s="174" t="str">
        <f aca="false">'Datasize-Parameters'!$C$6</f>
        <v>Service Request (Case)</v>
      </c>
      <c r="O7" s="175" t="n">
        <f aca="false">'Customer Volumes'!G9*'Customer Volumes'!G16</f>
        <v>23152.5</v>
      </c>
      <c r="P7" s="176" t="n">
        <f aca="false">O7*'Datasize-Parameters'!$D$24/(1024*1024)</f>
        <v>5.6524658203125</v>
      </c>
      <c r="R7" s="174" t="str">
        <f aca="false">'Datasize-Parameters'!$C$6</f>
        <v>Service Request (Case)</v>
      </c>
      <c r="S7" s="175" t="n">
        <f aca="false">'Customer Volumes'!H9*'Customer Volumes'!H16</f>
        <v>24310.125</v>
      </c>
      <c r="T7" s="176" t="n">
        <f aca="false">S7*'Datasize-Parameters'!$D$24/(1024*1024)</f>
        <v>5.93508911132813</v>
      </c>
    </row>
    <row r="8" customFormat="false" ht="15" hidden="false" customHeight="false" outlineLevel="0" collapsed="false">
      <c r="A8" s="12"/>
      <c r="B8" s="174" t="str">
        <f aca="false">'Datasize-Parameters'!$C$7</f>
        <v>Campaign</v>
      </c>
      <c r="C8" s="175" t="n">
        <v>0</v>
      </c>
      <c r="D8" s="176" t="n">
        <f aca="false">C8*'Datasize-Parameters'!$D$24/(1024*1024)</f>
        <v>0</v>
      </c>
      <c r="F8" s="174" t="str">
        <f aca="false">'Datasize-Parameters'!$C$7</f>
        <v>Campaign</v>
      </c>
      <c r="G8" s="175" t="n">
        <v>0</v>
      </c>
      <c r="H8" s="176" t="n">
        <f aca="false">G8*'Datasize-Parameters'!$D$24/(1024*1024)</f>
        <v>0</v>
      </c>
      <c r="J8" s="174" t="str">
        <f aca="false">'Datasize-Parameters'!$C$7</f>
        <v>Campaign</v>
      </c>
      <c r="K8" s="175" t="n">
        <v>0</v>
      </c>
      <c r="L8" s="176" t="n">
        <f aca="false">K8*'Datasize-Parameters'!$D$24/(1024*1024)</f>
        <v>0</v>
      </c>
      <c r="N8" s="174" t="str">
        <f aca="false">'Datasize-Parameters'!$C$7</f>
        <v>Campaign</v>
      </c>
      <c r="O8" s="175" t="n">
        <v>0</v>
      </c>
      <c r="P8" s="176" t="n">
        <f aca="false">O8*'Datasize-Parameters'!$D$24/(1024*1024)</f>
        <v>0</v>
      </c>
      <c r="R8" s="174" t="str">
        <f aca="false">'Datasize-Parameters'!$C$7</f>
        <v>Campaign</v>
      </c>
      <c r="S8" s="175" t="n">
        <v>0</v>
      </c>
      <c r="T8" s="176" t="n">
        <f aca="false">S8*'Datasize-Parameters'!$D$24/(1024*1024)</f>
        <v>0</v>
      </c>
    </row>
    <row r="9" customFormat="false" ht="15" hidden="false" customHeight="false" outlineLevel="0" collapsed="false">
      <c r="A9" s="12"/>
      <c r="B9" s="174" t="str">
        <f aca="false">'Datasize-Parameters'!$C$8</f>
        <v>Offer</v>
      </c>
      <c r="C9" s="175" t="n">
        <v>0</v>
      </c>
      <c r="D9" s="176" t="n">
        <f aca="false">C9*'Datasize-Parameters'!$D$24/(1024*1024)</f>
        <v>0</v>
      </c>
      <c r="F9" s="174" t="str">
        <f aca="false">'Datasize-Parameters'!$C$8</f>
        <v>Offer</v>
      </c>
      <c r="G9" s="175" t="n">
        <v>0</v>
      </c>
      <c r="H9" s="176" t="n">
        <f aca="false">G9*'Datasize-Parameters'!$D$24/(1024*1024)</f>
        <v>0</v>
      </c>
      <c r="J9" s="174" t="str">
        <f aca="false">'Datasize-Parameters'!$C$8</f>
        <v>Offer</v>
      </c>
      <c r="K9" s="175" t="n">
        <v>0</v>
      </c>
      <c r="L9" s="176" t="n">
        <f aca="false">K9*'Datasize-Parameters'!$D$24/(1024*1024)</f>
        <v>0</v>
      </c>
      <c r="N9" s="174" t="str">
        <f aca="false">'Datasize-Parameters'!$C$8</f>
        <v>Offer</v>
      </c>
      <c r="O9" s="175" t="n">
        <v>0</v>
      </c>
      <c r="P9" s="176" t="n">
        <f aca="false">O9*'Datasize-Parameters'!$D$24/(1024*1024)</f>
        <v>0</v>
      </c>
      <c r="R9" s="174" t="str">
        <f aca="false">'Datasize-Parameters'!$C$8</f>
        <v>Offer</v>
      </c>
      <c r="S9" s="175" t="n">
        <v>0</v>
      </c>
      <c r="T9" s="176" t="n">
        <f aca="false">S9*'Datasize-Parameters'!$D$24/(1024*1024)</f>
        <v>0</v>
      </c>
    </row>
    <row r="10" customFormat="false" ht="15" hidden="false" customHeight="false" outlineLevel="0" collapsed="false">
      <c r="A10" s="12"/>
      <c r="B10" s="174" t="str">
        <f aca="false">'Datasize-Parameters'!$C$9</f>
        <v>Credit</v>
      </c>
      <c r="C10" s="175" t="n">
        <v>0</v>
      </c>
      <c r="D10" s="176" t="n">
        <f aca="false">C10*'Datasize-Parameters'!$D$24/(1024*1024)</f>
        <v>0</v>
      </c>
      <c r="F10" s="174" t="str">
        <f aca="false">'Datasize-Parameters'!$C$9</f>
        <v>Credit</v>
      </c>
      <c r="G10" s="175" t="n">
        <v>0</v>
      </c>
      <c r="H10" s="176" t="n">
        <f aca="false">G10*'Datasize-Parameters'!$D$24/(1024*1024)</f>
        <v>0</v>
      </c>
      <c r="J10" s="174" t="str">
        <f aca="false">'Datasize-Parameters'!$C$9</f>
        <v>Credit</v>
      </c>
      <c r="K10" s="175" t="n">
        <v>0</v>
      </c>
      <c r="L10" s="176" t="n">
        <f aca="false">K10*'Datasize-Parameters'!$D$24/(1024*1024)</f>
        <v>0</v>
      </c>
      <c r="N10" s="174" t="str">
        <f aca="false">'Datasize-Parameters'!$C$9</f>
        <v>Credit</v>
      </c>
      <c r="O10" s="175" t="n">
        <v>0</v>
      </c>
      <c r="P10" s="176" t="n">
        <f aca="false">O10*'Datasize-Parameters'!$D$24/(1024*1024)</f>
        <v>0</v>
      </c>
      <c r="R10" s="174" t="str">
        <f aca="false">'Datasize-Parameters'!$C$9</f>
        <v>Credit</v>
      </c>
      <c r="S10" s="175" t="n">
        <v>0</v>
      </c>
      <c r="T10" s="176" t="n">
        <f aca="false">S10*'Datasize-Parameters'!$D$24/(1024*1024)</f>
        <v>0</v>
      </c>
    </row>
    <row r="11" customFormat="false" ht="15" hidden="false" customHeight="false" outlineLevel="0" collapsed="false">
      <c r="A11" s="12"/>
      <c r="B11" s="174" t="str">
        <f aca="false">'Datasize-Parameters'!$C$13</f>
        <v>Facility</v>
      </c>
      <c r="C11" s="175" t="n">
        <v>0</v>
      </c>
      <c r="D11" s="176" t="n">
        <f aca="false">C11*'Datasize-Parameters'!$D$24/(1024*1024)</f>
        <v>0</v>
      </c>
      <c r="F11" s="174" t="str">
        <f aca="false">'Datasize-Parameters'!$C$13</f>
        <v>Facility</v>
      </c>
      <c r="G11" s="175" t="n">
        <v>0</v>
      </c>
      <c r="H11" s="176" t="n">
        <f aca="false">G11*'Datasize-Parameters'!$D$24/(1024*1024)</f>
        <v>0</v>
      </c>
      <c r="J11" s="174" t="str">
        <f aca="false">'Datasize-Parameters'!$C$13</f>
        <v>Facility</v>
      </c>
      <c r="K11" s="175" t="n">
        <v>0</v>
      </c>
      <c r="L11" s="176" t="n">
        <f aca="false">K11*'Datasize-Parameters'!$D$24/(1024*1024)</f>
        <v>0</v>
      </c>
      <c r="N11" s="174" t="str">
        <f aca="false">'Datasize-Parameters'!$C$13</f>
        <v>Facility</v>
      </c>
      <c r="O11" s="175" t="n">
        <v>0</v>
      </c>
      <c r="P11" s="176" t="n">
        <f aca="false">O11*'Datasize-Parameters'!$D$24/(1024*1024)</f>
        <v>0</v>
      </c>
      <c r="R11" s="174" t="str">
        <f aca="false">'Datasize-Parameters'!$C$13</f>
        <v>Facility</v>
      </c>
      <c r="S11" s="175" t="n">
        <v>0</v>
      </c>
      <c r="T11" s="176" t="n">
        <f aca="false">S11*'Datasize-Parameters'!$D$24/(1024*1024)</f>
        <v>0</v>
      </c>
    </row>
    <row r="12" customFormat="false" ht="15" hidden="false" customHeight="false" outlineLevel="0" collapsed="false">
      <c r="A12" s="12"/>
      <c r="B12" s="174"/>
      <c r="C12" s="175"/>
      <c r="D12" s="176"/>
      <c r="F12" s="174"/>
      <c r="G12" s="175"/>
      <c r="H12" s="176"/>
      <c r="J12" s="174"/>
      <c r="K12" s="175"/>
      <c r="L12" s="176"/>
      <c r="N12" s="174"/>
      <c r="O12" s="175"/>
      <c r="P12" s="176"/>
      <c r="R12" s="174"/>
      <c r="S12" s="175"/>
      <c r="T12" s="176"/>
    </row>
    <row r="13" customFormat="false" ht="15" hidden="false" customHeight="false" outlineLevel="0" collapsed="false">
      <c r="B13" s="180" t="s">
        <v>289</v>
      </c>
      <c r="C13" s="180"/>
      <c r="D13" s="179" t="n">
        <f aca="false">SUM(D5:D11)</f>
        <v>5349.59096679688</v>
      </c>
      <c r="F13" s="180" t="s">
        <v>289</v>
      </c>
      <c r="G13" s="180"/>
      <c r="H13" s="179" t="n">
        <f aca="false">SUM(H5:H11)</f>
        <v>5884.30592285156</v>
      </c>
      <c r="J13" s="180" t="s">
        <v>289</v>
      </c>
      <c r="K13" s="180"/>
      <c r="L13" s="179" t="n">
        <f aca="false">SUM(L5:L11)</f>
        <v>6472.48016748047</v>
      </c>
      <c r="N13" s="180" t="s">
        <v>289</v>
      </c>
      <c r="O13" s="180"/>
      <c r="P13" s="179" t="n">
        <f aca="false">SUM(P5:P11)</f>
        <v>7119.45901918946</v>
      </c>
      <c r="R13" s="180" t="s">
        <v>289</v>
      </c>
      <c r="S13" s="180"/>
      <c r="T13" s="179" t="n">
        <f aca="false">SUM(T5:T11)</f>
        <v>7831.12229781739</v>
      </c>
    </row>
    <row r="14" customFormat="false" ht="23.85" hidden="false" customHeight="false" outlineLevel="0" collapsed="false">
      <c r="B14" s="182"/>
      <c r="C14" s="183"/>
      <c r="D14" s="182" t="s">
        <v>273</v>
      </c>
      <c r="F14" s="182"/>
      <c r="G14" s="183"/>
      <c r="H14" s="182" t="s">
        <v>273</v>
      </c>
      <c r="J14" s="182"/>
      <c r="K14" s="183"/>
      <c r="L14" s="182" t="s">
        <v>273</v>
      </c>
      <c r="N14" s="182"/>
      <c r="O14" s="183"/>
      <c r="P14" s="182" t="s">
        <v>273</v>
      </c>
      <c r="R14" s="182"/>
      <c r="S14" s="183"/>
      <c r="T14" s="182" t="s">
        <v>273</v>
      </c>
    </row>
    <row r="15" customFormat="false" ht="15" hidden="false" customHeight="false" outlineLevel="0" collapsed="false">
      <c r="A15" s="12"/>
      <c r="B15" s="194"/>
      <c r="C15" s="194"/>
      <c r="D15" s="195"/>
      <c r="F15" s="194"/>
      <c r="G15" s="194"/>
      <c r="H15" s="195"/>
      <c r="J15" s="194"/>
      <c r="K15" s="194"/>
      <c r="L15" s="195"/>
      <c r="N15" s="194"/>
      <c r="O15" s="194"/>
      <c r="P15" s="195"/>
      <c r="R15" s="194"/>
      <c r="S15" s="194"/>
      <c r="T15" s="195"/>
    </row>
    <row r="16" customFormat="false" ht="19.7" hidden="false" customHeight="false" outlineLevel="0" collapsed="false">
      <c r="A16" s="12"/>
      <c r="B16" s="196" t="s">
        <v>290</v>
      </c>
      <c r="C16" s="197"/>
      <c r="D16" s="197"/>
      <c r="F16" s="196" t="s">
        <v>290</v>
      </c>
      <c r="G16" s="197"/>
      <c r="H16" s="197"/>
      <c r="J16" s="196" t="s">
        <v>290</v>
      </c>
      <c r="K16" s="197"/>
      <c r="L16" s="197"/>
      <c r="N16" s="196" t="s">
        <v>290</v>
      </c>
      <c r="O16" s="197"/>
      <c r="P16" s="197"/>
      <c r="R16" s="196" t="s">
        <v>290</v>
      </c>
      <c r="S16" s="197"/>
      <c r="T16" s="197"/>
    </row>
    <row r="17" customFormat="false" ht="19.7" hidden="false" customHeight="false" outlineLevel="0" collapsed="false">
      <c r="A17" s="12"/>
      <c r="B17" s="184"/>
      <c r="C17" s="187"/>
      <c r="D17" s="184"/>
      <c r="F17" s="184"/>
      <c r="G17" s="187"/>
      <c r="H17" s="184"/>
      <c r="J17" s="184"/>
      <c r="K17" s="187"/>
      <c r="L17" s="184"/>
      <c r="N17" s="184"/>
      <c r="O17" s="187"/>
      <c r="P17" s="184"/>
      <c r="Q17" s="181"/>
      <c r="R17" s="184"/>
      <c r="S17" s="187"/>
      <c r="T17" s="184"/>
    </row>
    <row r="18" customFormat="false" ht="15" hidden="false" customHeight="false" outlineLevel="0" collapsed="false">
      <c r="A18" s="12"/>
      <c r="B18" s="184" t="s">
        <v>272</v>
      </c>
      <c r="C18" s="187"/>
      <c r="D18" s="188" t="n">
        <f aca="false">D13</f>
        <v>5349.59096679688</v>
      </c>
      <c r="F18" s="184" t="s">
        <v>272</v>
      </c>
      <c r="G18" s="187"/>
      <c r="H18" s="188" t="n">
        <f aca="false">H13</f>
        <v>5884.30592285156</v>
      </c>
      <c r="J18" s="184" t="s">
        <v>272</v>
      </c>
      <c r="K18" s="187"/>
      <c r="L18" s="188" t="n">
        <f aca="false">L13</f>
        <v>6472.48016748047</v>
      </c>
      <c r="N18" s="184" t="s">
        <v>272</v>
      </c>
      <c r="O18" s="187"/>
      <c r="P18" s="188" t="n">
        <f aca="false">P13</f>
        <v>7119.45901918946</v>
      </c>
      <c r="R18" s="184" t="s">
        <v>272</v>
      </c>
      <c r="S18" s="187"/>
      <c r="T18" s="188" t="n">
        <f aca="false">T13</f>
        <v>7831.12229781739</v>
      </c>
    </row>
    <row r="19" customFormat="false" ht="19.7" hidden="false" customHeight="false" outlineLevel="0" collapsed="false">
      <c r="A19" s="12"/>
      <c r="B19" s="184" t="s">
        <v>291</v>
      </c>
      <c r="C19" s="187"/>
      <c r="D19" s="188" t="n">
        <f aca="false">D18*10%</f>
        <v>534.959096679688</v>
      </c>
      <c r="E19" s="181"/>
      <c r="F19" s="184" t="s">
        <v>291</v>
      </c>
      <c r="G19" s="187"/>
      <c r="H19" s="188" t="n">
        <f aca="false">H18*10%</f>
        <v>588.430592285156</v>
      </c>
      <c r="I19" s="181"/>
      <c r="J19" s="184" t="s">
        <v>291</v>
      </c>
      <c r="K19" s="187"/>
      <c r="L19" s="188" t="n">
        <f aca="false">L18*10%</f>
        <v>647.248016748047</v>
      </c>
      <c r="M19" s="181"/>
      <c r="N19" s="184" t="s">
        <v>291</v>
      </c>
      <c r="O19" s="187"/>
      <c r="P19" s="188" t="n">
        <f aca="false">P18*10%</f>
        <v>711.945901918946</v>
      </c>
      <c r="R19" s="184" t="s">
        <v>291</v>
      </c>
      <c r="S19" s="187"/>
      <c r="T19" s="188" t="n">
        <f aca="false">T18*10%</f>
        <v>783.112229781739</v>
      </c>
    </row>
    <row r="20" customFormat="false" ht="15" hidden="false" customHeight="false" outlineLevel="0" collapsed="false">
      <c r="A20" s="12"/>
      <c r="B20" s="184"/>
      <c r="C20" s="187"/>
      <c r="D20" s="188"/>
      <c r="F20" s="184"/>
      <c r="G20" s="187"/>
      <c r="H20" s="188"/>
      <c r="J20" s="184"/>
      <c r="K20" s="187"/>
      <c r="L20" s="188"/>
      <c r="N20" s="184"/>
      <c r="O20" s="187"/>
      <c r="P20" s="188"/>
      <c r="R20" s="184"/>
      <c r="S20" s="187"/>
      <c r="T20" s="188"/>
    </row>
    <row r="21" customFormat="false" ht="20.85" hidden="false" customHeight="false" outlineLevel="0" collapsed="false">
      <c r="A21" s="12"/>
      <c r="B21" s="189" t="s">
        <v>278</v>
      </c>
      <c r="C21" s="187"/>
      <c r="D21" s="198" t="n">
        <f aca="false">SUM(D18:D19)</f>
        <v>5884.55006347656</v>
      </c>
      <c r="F21" s="189" t="s">
        <v>292</v>
      </c>
      <c r="G21" s="187"/>
      <c r="H21" s="198" t="n">
        <f aca="false">SUM(H18:H19)</f>
        <v>6472.73651513672</v>
      </c>
      <c r="J21" s="189" t="s">
        <v>280</v>
      </c>
      <c r="K21" s="187"/>
      <c r="L21" s="198" t="n">
        <f aca="false">SUM(L18:L19)</f>
        <v>7119.72818422852</v>
      </c>
      <c r="N21" s="189" t="s">
        <v>281</v>
      </c>
      <c r="O21" s="187"/>
      <c r="P21" s="198" t="n">
        <f aca="false">SUM(P18:P19)</f>
        <v>7831.4049211084</v>
      </c>
      <c r="R21" s="189" t="s">
        <v>282</v>
      </c>
      <c r="S21" s="187"/>
      <c r="T21" s="198" t="n">
        <f aca="false">SUM(T18:T19)</f>
        <v>8614.23452759913</v>
      </c>
    </row>
    <row r="22" customFormat="false" ht="15" hidden="false" customHeight="false" outlineLevel="0" collapsed="false">
      <c r="A22" s="12"/>
      <c r="B22" s="177"/>
      <c r="C22" s="187"/>
      <c r="D22" s="191" t="s">
        <v>284</v>
      </c>
      <c r="F22" s="177"/>
      <c r="G22" s="187"/>
      <c r="H22" s="191" t="s">
        <v>284</v>
      </c>
      <c r="J22" s="177"/>
      <c r="K22" s="187"/>
      <c r="L22" s="191" t="s">
        <v>284</v>
      </c>
      <c r="N22" s="177"/>
      <c r="O22" s="187"/>
      <c r="P22" s="191" t="s">
        <v>284</v>
      </c>
      <c r="R22" s="177"/>
      <c r="S22" s="187"/>
      <c r="T22" s="191" t="s">
        <v>284</v>
      </c>
    </row>
    <row r="23" customFormat="false" ht="15" hidden="false" customHeight="false" outlineLevel="0" collapsed="false">
      <c r="A23" s="12"/>
    </row>
    <row r="24" customFormat="false" ht="15" hidden="false" customHeight="false" outlineLevel="0" collapsed="false">
      <c r="A24" s="12"/>
    </row>
    <row r="25" customFormat="false" ht="15" hidden="false" customHeight="false" outlineLevel="0" collapsed="false">
      <c r="A25" s="12"/>
    </row>
    <row r="26" customFormat="false" ht="15" hidden="false" customHeight="false" outlineLevel="0" collapsed="false">
      <c r="A26" s="12"/>
    </row>
    <row r="27" customFormat="false" ht="15" hidden="false" customHeight="false" outlineLevel="0" collapsed="false">
      <c r="A27" s="12"/>
    </row>
    <row r="28" customFormat="false" ht="15" hidden="false" customHeight="false" outlineLevel="0" collapsed="false">
      <c r="A28" s="12"/>
    </row>
    <row r="29" customFormat="false" ht="15" hidden="false" customHeight="false" outlineLevel="0" collapsed="false">
      <c r="A29" s="12"/>
    </row>
    <row r="30" customFormat="false" ht="15" hidden="false" customHeight="false" outlineLevel="0" collapsed="false">
      <c r="A30" s="12"/>
    </row>
    <row r="31" customFormat="false" ht="15" hidden="false" customHeight="false" outlineLevel="0" collapsed="false">
      <c r="A31" s="12"/>
    </row>
    <row r="32" customFormat="false" ht="15" hidden="false" customHeight="false" outlineLevel="0" collapsed="false">
      <c r="A32" s="12"/>
    </row>
    <row r="33" customFormat="false" ht="15" hidden="false" customHeight="false" outlineLevel="0" collapsed="false">
      <c r="A33" s="12"/>
    </row>
    <row r="34" customFormat="false" ht="15" hidden="false" customHeight="false" outlineLevel="0" collapsed="false">
      <c r="A34" s="12"/>
    </row>
    <row r="35" customFormat="false" ht="15" hidden="false" customHeight="false" outlineLevel="0" collapsed="false">
      <c r="A35" s="12"/>
    </row>
    <row r="36" customFormat="false" ht="15" hidden="false" customHeight="false" outlineLevel="0" collapsed="false">
      <c r="A36" s="12"/>
    </row>
  </sheetData>
  <sheetProtection algorithmName="SHA-512" hashValue="/G8AD2XoJ+DkAPJIGpWJQ+VevwxxBu00LaVbH0KRT9WrlOX4Tr590zp0G8mHbpBbGZFWpSNubndJuwkmD30gGQ==" saltValue="kSC7bYfg9RJSvG3J5E9g0g==" spinCount="100000" sheet="true" objects="true" scenarios="true"/>
  <protectedRanges>
    <protectedRange name="First Year_1" sqref="C5:C11 G5:G11 K5:K11 O5:O11 S5:S11"/>
  </protectedRanges>
  <mergeCells count="5">
    <mergeCell ref="B13:C13"/>
    <mergeCell ref="F13:G13"/>
    <mergeCell ref="J13:K13"/>
    <mergeCell ref="N13:O13"/>
    <mergeCell ref="R13:S1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6C0A"/>
    <pageSetUpPr fitToPage="false"/>
  </sheetPr>
  <dimension ref="B2: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1" activeCellId="0" sqref="B21"/>
    </sheetView>
  </sheetViews>
  <sheetFormatPr defaultColWidth="9.1484375" defaultRowHeight="15" zeroHeight="false" outlineLevelRow="0" outlineLevelCol="0"/>
  <cols>
    <col collapsed="false" customWidth="true" hidden="false" outlineLevel="0" max="1" min="1" style="199" width="4.14"/>
    <col collapsed="false" customWidth="true" hidden="false" outlineLevel="0" max="2" min="2" style="199" width="10.71"/>
    <col collapsed="false" customWidth="true" hidden="false" outlineLevel="0" max="3" min="3" style="199" width="10.85"/>
    <col collapsed="false" customWidth="true" hidden="false" outlineLevel="0" max="5" min="4" style="199" width="23.71"/>
    <col collapsed="false" customWidth="true" hidden="false" outlineLevel="0" max="6" min="6" style="199" width="17"/>
    <col collapsed="false" customWidth="true" hidden="false" outlineLevel="0" max="7" min="7" style="199" width="23.71"/>
    <col collapsed="false" customWidth="true" hidden="false" outlineLevel="0" max="8" min="8" style="199" width="14.86"/>
    <col collapsed="false" customWidth="true" hidden="false" outlineLevel="0" max="9" min="9" style="199" width="12.57"/>
    <col collapsed="false" customWidth="true" hidden="false" outlineLevel="0" max="10" min="10" style="199" width="16.84"/>
    <col collapsed="false" customWidth="true" hidden="false" outlineLevel="0" max="12" min="11" style="199" width="9.71"/>
    <col collapsed="false" customWidth="true" hidden="false" outlineLevel="0" max="13" min="13" style="199" width="38.57"/>
    <col collapsed="false" customWidth="true" hidden="false" outlineLevel="0" max="14" min="14" style="200" width="24"/>
    <col collapsed="false" customWidth="true" hidden="false" outlineLevel="0" max="15" min="15" style="199" width="23.71"/>
    <col collapsed="false" customWidth="true" hidden="false" outlineLevel="0" max="16" min="16" style="199" width="13.86"/>
    <col collapsed="false" customWidth="true" hidden="false" outlineLevel="0" max="17" min="17" style="199" width="28.14"/>
    <col collapsed="false" customWidth="false" hidden="false" outlineLevel="0" max="16384" min="18" style="199" width="9.14"/>
  </cols>
  <sheetData>
    <row r="2" customFormat="false" ht="15" hidden="false" customHeight="false" outlineLevel="0" collapsed="false">
      <c r="B2" s="201" t="s">
        <v>293</v>
      </c>
      <c r="C2" s="201"/>
    </row>
    <row r="3" s="202" customFormat="true" ht="41.75" hidden="false" customHeight="false" outlineLevel="0" collapsed="false">
      <c r="B3" s="203" t="s">
        <v>294</v>
      </c>
      <c r="C3" s="203" t="s">
        <v>295</v>
      </c>
      <c r="D3" s="203" t="s">
        <v>296</v>
      </c>
      <c r="E3" s="204" t="s">
        <v>297</v>
      </c>
      <c r="F3" s="203" t="s">
        <v>298</v>
      </c>
      <c r="G3" s="203" t="s">
        <v>299</v>
      </c>
      <c r="H3" s="203" t="s">
        <v>300</v>
      </c>
      <c r="I3" s="203" t="s">
        <v>301</v>
      </c>
      <c r="J3" s="203" t="s">
        <v>302</v>
      </c>
    </row>
    <row r="4" customFormat="false" ht="15" hidden="false" customHeight="false" outlineLevel="0" collapsed="false">
      <c r="B4" s="205" t="s">
        <v>303</v>
      </c>
      <c r="C4" s="205" t="s">
        <v>304</v>
      </c>
      <c r="D4" s="206" t="n">
        <v>2</v>
      </c>
      <c r="E4" s="205" t="n">
        <v>5</v>
      </c>
      <c r="F4" s="205" t="s">
        <v>305</v>
      </c>
      <c r="G4" s="205" t="s">
        <v>306</v>
      </c>
      <c r="H4" s="205" t="s">
        <v>307</v>
      </c>
      <c r="I4" s="205" t="s">
        <v>141</v>
      </c>
      <c r="J4" s="205" t="s">
        <v>141</v>
      </c>
    </row>
    <row r="6" customFormat="false" ht="15" hidden="false" customHeight="false" outlineLevel="0" collapsed="false">
      <c r="B6" s="207" t="s">
        <v>308</v>
      </c>
      <c r="C6" s="207"/>
      <c r="D6" s="208" t="s">
        <v>309</v>
      </c>
      <c r="E6" s="208"/>
      <c r="F6" s="208"/>
    </row>
    <row r="7" s="209" customFormat="true" ht="60" hidden="false" customHeight="true" outlineLevel="0" collapsed="false">
      <c r="B7" s="210" t="s">
        <v>297</v>
      </c>
      <c r="C7" s="211" t="s">
        <v>310</v>
      </c>
      <c r="D7" s="211" t="s">
        <v>311</v>
      </c>
      <c r="E7" s="210" t="s">
        <v>312</v>
      </c>
      <c r="F7" s="211" t="s">
        <v>313</v>
      </c>
      <c r="H7" s="212" t="s">
        <v>314</v>
      </c>
      <c r="I7" s="213" t="s">
        <v>315</v>
      </c>
      <c r="M7" s="214" t="s">
        <v>169</v>
      </c>
      <c r="N7" s="214" t="s">
        <v>316</v>
      </c>
    </row>
    <row r="8" customFormat="false" ht="15" hidden="false" customHeight="false" outlineLevel="0" collapsed="false">
      <c r="B8" s="215" t="n">
        <v>1</v>
      </c>
      <c r="C8" s="216" t="e">
        <f aca="false">'server size'!#ref!</f>
        <v>#VALUE!</v>
      </c>
      <c r="D8" s="216" t="n">
        <f aca="false">2*ROUND('Server size'!C22,1)</f>
        <v>112</v>
      </c>
      <c r="E8" s="216" t="n">
        <f aca="false">ROUNDUP('Data size'!D30/50,0)*50</f>
        <v>2050</v>
      </c>
      <c r="F8" s="216" t="n">
        <f aca="false">ROUNDUP('DMS size'!D21/100,0)*100</f>
        <v>5900</v>
      </c>
      <c r="H8" s="217" t="n">
        <v>2</v>
      </c>
      <c r="I8" s="217" t="n">
        <v>8</v>
      </c>
      <c r="M8" s="218" t="s">
        <v>317</v>
      </c>
      <c r="N8" s="219" t="str">
        <f aca="false">VLOOKUP(B4,B43:C45,2,FALSE())</f>
        <v>GKE</v>
      </c>
    </row>
    <row r="9" customFormat="false" ht="15" hidden="false" customHeight="false" outlineLevel="0" collapsed="false">
      <c r="B9" s="215" t="n">
        <v>2</v>
      </c>
      <c r="C9" s="216" t="e">
        <f aca="false">'server size'!#ref!</f>
        <v>#VALUE!</v>
      </c>
      <c r="D9" s="216" t="n">
        <f aca="false">2*ROUND('Server size'!D22,1)</f>
        <v>116</v>
      </c>
      <c r="E9" s="216" t="n">
        <f aca="false">ROUNDUP('Data size'!H30/50,0)*50</f>
        <v>2250</v>
      </c>
      <c r="F9" s="216" t="n">
        <f aca="false">ROUNDUP('DMS size'!H21/100,0)*100</f>
        <v>6500</v>
      </c>
      <c r="H9" s="217" t="n">
        <v>4</v>
      </c>
      <c r="I9" s="217" t="n">
        <v>8</v>
      </c>
      <c r="M9" s="217" t="s">
        <v>310</v>
      </c>
      <c r="N9" s="219" t="e">
        <f aca="false">VLOOKUP(E4,B8:F12,2,FALSE())</f>
        <v>#VALUE!</v>
      </c>
    </row>
    <row r="10" customFormat="false" ht="15" hidden="false" customHeight="false" outlineLevel="0" collapsed="false">
      <c r="B10" s="215" t="n">
        <v>3</v>
      </c>
      <c r="C10" s="216" t="e">
        <f aca="false">'server size'!#ref!</f>
        <v>#VALUE!</v>
      </c>
      <c r="D10" s="216" t="n">
        <f aca="false">2*'Server size'!E22</f>
        <v>120</v>
      </c>
      <c r="E10" s="216" t="n">
        <f aca="false">ROUNDUP('Data size'!L30/50,0)*50</f>
        <v>2500</v>
      </c>
      <c r="F10" s="216" t="n">
        <f aca="false">ROUNDUP('DMS size'!L21/100,0)*100</f>
        <v>7200</v>
      </c>
      <c r="H10" s="217" t="n">
        <v>6</v>
      </c>
      <c r="I10" s="217" t="n">
        <v>8</v>
      </c>
      <c r="M10" s="220" t="s">
        <v>311</v>
      </c>
      <c r="N10" s="219" t="n">
        <f aca="false">VLOOKUP(E4,B8:F12,3,FALSE())</f>
        <v>132</v>
      </c>
    </row>
    <row r="11" customFormat="false" ht="15" hidden="false" customHeight="true" outlineLevel="0" collapsed="false">
      <c r="B11" s="215" t="n">
        <v>4</v>
      </c>
      <c r="C11" s="216" t="e">
        <f aca="false">'server size'!#ref!</f>
        <v>#VALUE!</v>
      </c>
      <c r="D11" s="216" t="n">
        <f aca="false">2*ROUND('Server size'!F22,1)</f>
        <v>124</v>
      </c>
      <c r="E11" s="216" t="n">
        <f aca="false">ROUNDUP('Data size'!P30/50,0)*50</f>
        <v>2750</v>
      </c>
      <c r="F11" s="216" t="n">
        <f aca="false">ROUNDUP('DMS size'!P21/100,0)*100</f>
        <v>7900</v>
      </c>
      <c r="G11" s="221"/>
      <c r="H11" s="217" t="n">
        <v>8</v>
      </c>
      <c r="I11" s="217" t="n">
        <v>8</v>
      </c>
      <c r="J11" s="222"/>
      <c r="M11" s="220" t="s">
        <v>318</v>
      </c>
      <c r="N11" s="219" t="e">
        <f aca="false">VLOOKUP(N10,H8:I39,2,FALSE())</f>
        <v>#N/A</v>
      </c>
    </row>
    <row r="12" customFormat="false" ht="15" hidden="false" customHeight="false" outlineLevel="0" collapsed="false">
      <c r="B12" s="215" t="n">
        <v>5</v>
      </c>
      <c r="C12" s="216" t="e">
        <f aca="false">'server size'!#ref!</f>
        <v>#VALUE!</v>
      </c>
      <c r="D12" s="216" t="n">
        <f aca="false">2*ROUND('Server size'!G22,1)</f>
        <v>132</v>
      </c>
      <c r="E12" s="216" t="n">
        <f aca="false">ROUNDUP('Data size'!T30/50,0)*50</f>
        <v>3000</v>
      </c>
      <c r="F12" s="216" t="n">
        <f aca="false">ROUNDUP('DMS size'!T21/100,0)*100</f>
        <v>8700</v>
      </c>
      <c r="G12" s="221"/>
      <c r="H12" s="217" t="n">
        <v>10</v>
      </c>
      <c r="I12" s="217" t="n">
        <v>8</v>
      </c>
      <c r="J12" s="222"/>
      <c r="M12" s="223" t="s">
        <v>312</v>
      </c>
      <c r="N12" s="219" t="n">
        <f aca="false">VLOOKUP(E4,B8:F12,4,FALSE())</f>
        <v>3000</v>
      </c>
    </row>
    <row r="13" customFormat="false" ht="15" hidden="false" customHeight="false" outlineLevel="0" collapsed="false">
      <c r="H13" s="217" t="n">
        <v>12</v>
      </c>
      <c r="I13" s="217" t="n">
        <v>16</v>
      </c>
      <c r="M13" s="220" t="s">
        <v>313</v>
      </c>
      <c r="N13" s="219" t="n">
        <f aca="false">VLOOKUP(E4,B8:F12,5,FALSE())</f>
        <v>8700</v>
      </c>
    </row>
    <row r="14" customFormat="false" ht="15" hidden="false" customHeight="true" outlineLevel="0" collapsed="false">
      <c r="B14" s="224" t="s">
        <v>308</v>
      </c>
      <c r="C14" s="224"/>
      <c r="D14" s="225" t="s">
        <v>309</v>
      </c>
      <c r="E14" s="225"/>
      <c r="F14" s="225"/>
      <c r="H14" s="217" t="n">
        <v>14</v>
      </c>
      <c r="I14" s="217" t="n">
        <v>16</v>
      </c>
      <c r="M14" s="217" t="s">
        <v>319</v>
      </c>
      <c r="N14" s="219" t="str">
        <f aca="false">VLOOKUP(F4&amp;" "&amp;G4,B16:E19,4,FALSE())</f>
        <v>Cloud Managed Database</v>
      </c>
    </row>
    <row r="15" customFormat="false" ht="28.35" hidden="false" customHeight="false" outlineLevel="0" collapsed="false">
      <c r="B15" s="226" t="s">
        <v>320</v>
      </c>
      <c r="C15" s="226" t="s">
        <v>298</v>
      </c>
      <c r="D15" s="226" t="s">
        <v>299</v>
      </c>
      <c r="E15" s="226" t="s">
        <v>321</v>
      </c>
      <c r="F15" s="226" t="s">
        <v>322</v>
      </c>
      <c r="H15" s="217" t="n">
        <v>16</v>
      </c>
      <c r="I15" s="217" t="n">
        <v>16</v>
      </c>
      <c r="M15" s="217" t="s">
        <v>322</v>
      </c>
      <c r="N15" s="219" t="str">
        <f aca="false">VLOOKUP(F4,C16:F17,4,FALSE())</f>
        <v>Oracle License</v>
      </c>
    </row>
    <row r="16" customFormat="false" ht="55.2" hidden="false" customHeight="false" outlineLevel="0" collapsed="false">
      <c r="B16" s="227" t="str">
        <f aca="false">C16&amp;" "&amp;D16</f>
        <v>MS SQL Database DB on Nodes</v>
      </c>
      <c r="C16" s="227" t="s">
        <v>323</v>
      </c>
      <c r="D16" s="227" t="s">
        <v>324</v>
      </c>
      <c r="E16" s="227" t="s">
        <v>325</v>
      </c>
      <c r="F16" s="227" t="s">
        <v>326</v>
      </c>
      <c r="H16" s="217" t="n">
        <v>18</v>
      </c>
      <c r="I16" s="217" t="n">
        <v>16</v>
      </c>
      <c r="M16" s="217" t="s">
        <v>327</v>
      </c>
      <c r="N16" s="219" t="str">
        <f aca="false">VLOOKUP(B4&amp;" "&amp;F4&amp;" "&amp;G4,B23:F34,5,FALSE())</f>
        <v>Bare Metal Solution for Oracle</v>
      </c>
    </row>
    <row r="17" customFormat="false" ht="55.2" hidden="false" customHeight="false" outlineLevel="0" collapsed="false">
      <c r="B17" s="227" t="str">
        <f aca="false">C17&amp;" "&amp;D17</f>
        <v>Oracle Database DB on Nodes</v>
      </c>
      <c r="C17" s="227" t="s">
        <v>305</v>
      </c>
      <c r="D17" s="227" t="s">
        <v>324</v>
      </c>
      <c r="E17" s="227" t="s">
        <v>328</v>
      </c>
      <c r="F17" s="227" t="s">
        <v>329</v>
      </c>
      <c r="H17" s="217" t="n">
        <v>20</v>
      </c>
      <c r="I17" s="217" t="n">
        <v>16</v>
      </c>
      <c r="M17" s="217" t="s">
        <v>330</v>
      </c>
      <c r="N17" s="228" t="n">
        <f aca="false">N12/100</f>
        <v>30</v>
      </c>
    </row>
    <row r="18" customFormat="false" ht="68.65" hidden="false" customHeight="false" outlineLevel="0" collapsed="false">
      <c r="B18" s="227" t="str">
        <f aca="false">C18&amp;" "&amp;D18</f>
        <v>MS SQL Database Cloud Managed Database</v>
      </c>
      <c r="C18" s="227" t="s">
        <v>323</v>
      </c>
      <c r="D18" s="227" t="s">
        <v>306</v>
      </c>
      <c r="E18" s="227" t="s">
        <v>306</v>
      </c>
      <c r="F18" s="227"/>
      <c r="H18" s="217" t="n">
        <v>22</v>
      </c>
      <c r="I18" s="217" t="n">
        <v>16</v>
      </c>
      <c r="M18" s="227" t="s">
        <v>313</v>
      </c>
      <c r="N18" s="229" t="str">
        <f aca="false">VLOOKUP(B4,B43:D45,3,FALSE())</f>
        <v>Cloud Storage</v>
      </c>
    </row>
    <row r="19" customFormat="false" ht="68.65" hidden="false" customHeight="false" outlineLevel="0" collapsed="false">
      <c r="B19" s="227" t="str">
        <f aca="false">C19&amp;" "&amp;D19</f>
        <v>Oracle Database Cloud Managed Database</v>
      </c>
      <c r="C19" s="227" t="s">
        <v>305</v>
      </c>
      <c r="D19" s="227" t="s">
        <v>306</v>
      </c>
      <c r="E19" s="227" t="s">
        <v>306</v>
      </c>
      <c r="F19" s="227"/>
      <c r="H19" s="217" t="n">
        <v>24</v>
      </c>
      <c r="I19" s="217" t="n">
        <v>16</v>
      </c>
      <c r="M19" s="217" t="s">
        <v>331</v>
      </c>
      <c r="N19" s="229" t="str">
        <f aca="false">VLOOKUP(B4,B43:E45,4,FALSE())</f>
        <v>MemoryStore</v>
      </c>
    </row>
    <row r="20" customFormat="false" ht="15" hidden="false" customHeight="false" outlineLevel="0" collapsed="false">
      <c r="B20" s="230"/>
      <c r="C20" s="230"/>
      <c r="D20" s="230"/>
      <c r="E20" s="230"/>
      <c r="F20" s="230"/>
      <c r="H20" s="217" t="n">
        <v>26</v>
      </c>
      <c r="I20" s="217" t="n">
        <v>32</v>
      </c>
      <c r="M20" s="217" t="s">
        <v>332</v>
      </c>
      <c r="N20" s="229" t="n">
        <f aca="false">VLOOKUP(J4,B37:C39,2,FALSE())</f>
        <v>2</v>
      </c>
    </row>
    <row r="21" customFormat="false" ht="15" hidden="false" customHeight="true" outlineLevel="0" collapsed="false">
      <c r="B21" s="224" t="s">
        <v>308</v>
      </c>
      <c r="C21" s="224"/>
      <c r="D21" s="225" t="s">
        <v>309</v>
      </c>
      <c r="E21" s="225"/>
      <c r="F21" s="225"/>
      <c r="H21" s="217" t="n">
        <v>28</v>
      </c>
      <c r="I21" s="217" t="n">
        <v>32</v>
      </c>
      <c r="M21" s="217" t="s">
        <v>333</v>
      </c>
      <c r="N21" s="229" t="n">
        <f aca="false">VLOOKUP(I4,E38:F39,2,FALSE())</f>
        <v>1</v>
      </c>
    </row>
    <row r="22" customFormat="false" ht="41.75" hidden="false" customHeight="false" outlineLevel="0" collapsed="false">
      <c r="B22" s="226" t="s">
        <v>334</v>
      </c>
      <c r="C22" s="226" t="s">
        <v>294</v>
      </c>
      <c r="D22" s="226" t="s">
        <v>298</v>
      </c>
      <c r="E22" s="226" t="s">
        <v>299</v>
      </c>
      <c r="F22" s="226" t="s">
        <v>335</v>
      </c>
      <c r="H22" s="217" t="n">
        <v>30</v>
      </c>
      <c r="I22" s="217" t="n">
        <v>32</v>
      </c>
      <c r="M22" s="218" t="s">
        <v>336</v>
      </c>
      <c r="N22" s="219" t="str">
        <f aca="false">VLOOKUP(B4,B43:F45,5,FALSE())</f>
        <v>Artifact Registry</v>
      </c>
    </row>
    <row r="23" customFormat="false" ht="68.65" hidden="false" customHeight="false" outlineLevel="0" collapsed="false">
      <c r="B23" s="227" t="str">
        <f aca="false">C23&amp;" "&amp;D23&amp;" "&amp;E23</f>
        <v>AWS MS SQL Database DB on Nodes</v>
      </c>
      <c r="C23" s="227" t="s">
        <v>137</v>
      </c>
      <c r="D23" s="227" t="s">
        <v>323</v>
      </c>
      <c r="E23" s="227" t="s">
        <v>324</v>
      </c>
      <c r="F23" s="227" t="s">
        <v>337</v>
      </c>
      <c r="H23" s="217" t="n">
        <v>32</v>
      </c>
      <c r="I23" s="217" t="n">
        <v>32</v>
      </c>
      <c r="M23" s="218" t="s">
        <v>338</v>
      </c>
      <c r="N23" s="219" t="str">
        <f aca="false">VLOOKUP(B4,B43:G45,6,FALSE())</f>
        <v>Cloud NAT</v>
      </c>
    </row>
    <row r="24" customFormat="false" ht="55.2" hidden="false" customHeight="false" outlineLevel="0" collapsed="false">
      <c r="B24" s="227" t="str">
        <f aca="false">C24&amp;" "&amp;D24&amp;" "&amp;E24</f>
        <v>AWS Oracle Database DB on Nodes</v>
      </c>
      <c r="C24" s="227" t="s">
        <v>137</v>
      </c>
      <c r="D24" s="227" t="s">
        <v>305</v>
      </c>
      <c r="E24" s="227" t="s">
        <v>324</v>
      </c>
      <c r="F24" s="227" t="s">
        <v>337</v>
      </c>
      <c r="H24" s="217" t="n">
        <v>34</v>
      </c>
      <c r="I24" s="217" t="n">
        <v>32</v>
      </c>
    </row>
    <row r="25" customFormat="false" ht="82.05" hidden="false" customHeight="false" outlineLevel="0" collapsed="false">
      <c r="B25" s="227" t="str">
        <f aca="false">C25&amp;" "&amp;D25&amp;" "&amp;E25</f>
        <v>AWS MS SQL Database Cloud Managed Database</v>
      </c>
      <c r="C25" s="227" t="s">
        <v>137</v>
      </c>
      <c r="D25" s="227" t="s">
        <v>323</v>
      </c>
      <c r="E25" s="227" t="s">
        <v>306</v>
      </c>
      <c r="F25" s="227" t="s">
        <v>339</v>
      </c>
      <c r="H25" s="217" t="n">
        <v>36</v>
      </c>
      <c r="I25" s="217" t="n">
        <v>32</v>
      </c>
    </row>
    <row r="26" customFormat="false" ht="68.65" hidden="false" customHeight="false" outlineLevel="0" collapsed="false">
      <c r="B26" s="227" t="str">
        <f aca="false">C26&amp;" "&amp;D26&amp;" "&amp;E26</f>
        <v>AWS Oracle Database Cloud Managed Database</v>
      </c>
      <c r="C26" s="227" t="s">
        <v>137</v>
      </c>
      <c r="D26" s="227" t="s">
        <v>305</v>
      </c>
      <c r="E26" s="227" t="s">
        <v>306</v>
      </c>
      <c r="F26" s="227" t="s">
        <v>339</v>
      </c>
      <c r="H26" s="217" t="n">
        <v>38</v>
      </c>
      <c r="I26" s="217" t="n">
        <v>32</v>
      </c>
    </row>
    <row r="27" customFormat="false" ht="68.65" hidden="false" customHeight="false" outlineLevel="0" collapsed="false">
      <c r="B27" s="227" t="str">
        <f aca="false">C27&amp;" "&amp;D27&amp;" "&amp;E27</f>
        <v>GCP MS SQL Database DB on Nodes</v>
      </c>
      <c r="C27" s="227" t="s">
        <v>303</v>
      </c>
      <c r="D27" s="227" t="s">
        <v>323</v>
      </c>
      <c r="E27" s="227" t="s">
        <v>324</v>
      </c>
      <c r="F27" s="227" t="s">
        <v>337</v>
      </c>
      <c r="H27" s="217" t="n">
        <v>40</v>
      </c>
      <c r="I27" s="217" t="n">
        <v>32</v>
      </c>
    </row>
    <row r="28" customFormat="false" ht="55.2" hidden="false" customHeight="false" outlineLevel="0" collapsed="false">
      <c r="B28" s="227" t="str">
        <f aca="false">C28&amp;" "&amp;D28&amp;" "&amp;E28</f>
        <v>GCP Oracle Database DB on Nodes</v>
      </c>
      <c r="C28" s="227" t="s">
        <v>303</v>
      </c>
      <c r="D28" s="227" t="s">
        <v>305</v>
      </c>
      <c r="E28" s="227" t="s">
        <v>324</v>
      </c>
      <c r="F28" s="227" t="s">
        <v>337</v>
      </c>
      <c r="H28" s="217" t="n">
        <v>42</v>
      </c>
      <c r="I28" s="217" t="n">
        <v>64</v>
      </c>
    </row>
    <row r="29" customFormat="false" ht="82.05" hidden="false" customHeight="false" outlineLevel="0" collapsed="false">
      <c r="B29" s="227" t="str">
        <f aca="false">C29&amp;" "&amp;D29&amp;" "&amp;E29</f>
        <v>GCP MS SQL Database Cloud Managed Database</v>
      </c>
      <c r="C29" s="227" t="s">
        <v>303</v>
      </c>
      <c r="D29" s="227" t="s">
        <v>323</v>
      </c>
      <c r="E29" s="227" t="s">
        <v>306</v>
      </c>
      <c r="F29" s="227" t="s">
        <v>340</v>
      </c>
      <c r="H29" s="217" t="n">
        <v>44</v>
      </c>
      <c r="I29" s="217" t="n">
        <v>64</v>
      </c>
    </row>
    <row r="30" customFormat="false" ht="68.65" hidden="false" customHeight="false" outlineLevel="0" collapsed="false">
      <c r="B30" s="227" t="str">
        <f aca="false">C30&amp;" "&amp;D30&amp;" "&amp;E30</f>
        <v>GCP Oracle Database Cloud Managed Database</v>
      </c>
      <c r="C30" s="227" t="s">
        <v>303</v>
      </c>
      <c r="D30" s="227" t="s">
        <v>305</v>
      </c>
      <c r="E30" s="227" t="s">
        <v>306</v>
      </c>
      <c r="F30" s="227" t="s">
        <v>341</v>
      </c>
      <c r="H30" s="217" t="n">
        <v>46</v>
      </c>
      <c r="I30" s="217" t="n">
        <v>64</v>
      </c>
    </row>
    <row r="31" customFormat="false" ht="68.65" hidden="false" customHeight="false" outlineLevel="0" collapsed="false">
      <c r="B31" s="227" t="str">
        <f aca="false">C31&amp;" "&amp;D31&amp;" "&amp;E31</f>
        <v>Azure MS SQL Database DB on Nodes</v>
      </c>
      <c r="C31" s="227" t="s">
        <v>342</v>
      </c>
      <c r="D31" s="227" t="s">
        <v>323</v>
      </c>
      <c r="E31" s="227" t="s">
        <v>324</v>
      </c>
      <c r="F31" s="227" t="s">
        <v>337</v>
      </c>
      <c r="H31" s="217" t="n">
        <v>48</v>
      </c>
      <c r="I31" s="217" t="n">
        <v>64</v>
      </c>
    </row>
    <row r="32" customFormat="false" ht="68.65" hidden="false" customHeight="false" outlineLevel="0" collapsed="false">
      <c r="B32" s="227" t="str">
        <f aca="false">C32&amp;" "&amp;D32&amp;" "&amp;E32</f>
        <v>Azure Oracle Database DB on Nodes</v>
      </c>
      <c r="C32" s="227" t="s">
        <v>342</v>
      </c>
      <c r="D32" s="227" t="s">
        <v>305</v>
      </c>
      <c r="E32" s="227" t="s">
        <v>324</v>
      </c>
      <c r="F32" s="227" t="s">
        <v>337</v>
      </c>
      <c r="H32" s="217" t="n">
        <v>50</v>
      </c>
      <c r="I32" s="217" t="n">
        <v>64</v>
      </c>
    </row>
    <row r="33" customFormat="false" ht="82.05" hidden="false" customHeight="false" outlineLevel="0" collapsed="false">
      <c r="B33" s="231" t="str">
        <f aca="false">C33&amp;" "&amp;D33&amp;" "&amp;E33</f>
        <v>Azure MS SQL Database Cloud Managed Database</v>
      </c>
      <c r="C33" s="231" t="s">
        <v>342</v>
      </c>
      <c r="D33" s="231" t="s">
        <v>323</v>
      </c>
      <c r="E33" s="231" t="s">
        <v>306</v>
      </c>
      <c r="F33" s="227" t="s">
        <v>343</v>
      </c>
      <c r="H33" s="217" t="n">
        <v>52</v>
      </c>
      <c r="I33" s="217" t="n">
        <v>64</v>
      </c>
    </row>
    <row r="34" customFormat="false" ht="82.05" hidden="false" customHeight="false" outlineLevel="0" collapsed="false">
      <c r="B34" s="231" t="str">
        <f aca="false">C34&amp;" "&amp;D34&amp;" "&amp;E34</f>
        <v>Azure Oracle Database Cloud Managed Database</v>
      </c>
      <c r="C34" s="231" t="s">
        <v>342</v>
      </c>
      <c r="D34" s="231" t="s">
        <v>305</v>
      </c>
      <c r="E34" s="231" t="s">
        <v>306</v>
      </c>
      <c r="F34" s="227" t="s">
        <v>343</v>
      </c>
      <c r="H34" s="217" t="n">
        <v>54</v>
      </c>
      <c r="I34" s="217" t="n">
        <v>64</v>
      </c>
    </row>
    <row r="35" customFormat="false" ht="15" hidden="false" customHeight="false" outlineLevel="0" collapsed="false">
      <c r="H35" s="217" t="n">
        <v>56</v>
      </c>
      <c r="I35" s="217" t="n">
        <v>64</v>
      </c>
    </row>
    <row r="36" customFormat="false" ht="15" hidden="false" customHeight="false" outlineLevel="0" collapsed="false">
      <c r="H36" s="217" t="n">
        <v>58</v>
      </c>
      <c r="I36" s="217" t="n">
        <v>64</v>
      </c>
    </row>
    <row r="37" customFormat="false" ht="15" hidden="false" customHeight="false" outlineLevel="0" collapsed="false">
      <c r="B37" s="217" t="s">
        <v>302</v>
      </c>
      <c r="C37" s="217" t="s">
        <v>344</v>
      </c>
      <c r="E37" s="217" t="s">
        <v>301</v>
      </c>
      <c r="F37" s="217" t="s">
        <v>344</v>
      </c>
      <c r="H37" s="217" t="n">
        <v>60</v>
      </c>
      <c r="I37" s="217" t="n">
        <v>64</v>
      </c>
    </row>
    <row r="38" customFormat="false" ht="15" hidden="false" customHeight="false" outlineLevel="0" collapsed="false">
      <c r="B38" s="217" t="s">
        <v>141</v>
      </c>
      <c r="C38" s="217" t="n">
        <v>2</v>
      </c>
      <c r="E38" s="217" t="s">
        <v>141</v>
      </c>
      <c r="F38" s="217" t="n">
        <v>1</v>
      </c>
      <c r="H38" s="217" t="n">
        <v>62</v>
      </c>
      <c r="I38" s="217" t="n">
        <v>64</v>
      </c>
    </row>
    <row r="39" customFormat="false" ht="15" hidden="false" customHeight="false" outlineLevel="0" collapsed="false">
      <c r="B39" s="217" t="s">
        <v>152</v>
      </c>
      <c r="C39" s="217" t="n">
        <v>0</v>
      </c>
      <c r="E39" s="217" t="s">
        <v>152</v>
      </c>
      <c r="F39" s="217" t="n">
        <v>0</v>
      </c>
      <c r="H39" s="217" t="n">
        <v>64</v>
      </c>
      <c r="I39" s="217" t="n">
        <v>64</v>
      </c>
    </row>
    <row r="42" customFormat="false" ht="15" hidden="false" customHeight="false" outlineLevel="0" collapsed="false">
      <c r="B42" s="214" t="s">
        <v>294</v>
      </c>
      <c r="C42" s="214" t="s">
        <v>345</v>
      </c>
      <c r="D42" s="214" t="s">
        <v>346</v>
      </c>
      <c r="E42" s="214" t="s">
        <v>331</v>
      </c>
      <c r="F42" s="232" t="s">
        <v>336</v>
      </c>
      <c r="G42" s="214" t="s">
        <v>347</v>
      </c>
    </row>
    <row r="43" customFormat="false" ht="15" hidden="false" customHeight="false" outlineLevel="0" collapsed="false">
      <c r="B43" s="217" t="s">
        <v>137</v>
      </c>
      <c r="C43" s="217" t="s">
        <v>348</v>
      </c>
      <c r="D43" s="217" t="s">
        <v>349</v>
      </c>
      <c r="E43" s="217" t="s">
        <v>350</v>
      </c>
      <c r="F43" s="217" t="s">
        <v>351</v>
      </c>
      <c r="G43" s="217" t="s">
        <v>338</v>
      </c>
    </row>
    <row r="44" customFormat="false" ht="15" hidden="false" customHeight="false" outlineLevel="0" collapsed="false">
      <c r="B44" s="217" t="s">
        <v>303</v>
      </c>
      <c r="C44" s="217" t="s">
        <v>352</v>
      </c>
      <c r="D44" s="217" t="s">
        <v>353</v>
      </c>
      <c r="E44" s="217" t="s">
        <v>354</v>
      </c>
      <c r="F44" s="217" t="s">
        <v>355</v>
      </c>
      <c r="G44" s="217" t="s">
        <v>356</v>
      </c>
    </row>
    <row r="45" customFormat="false" ht="31.3" hidden="false" customHeight="false" outlineLevel="0" collapsed="false">
      <c r="B45" s="217" t="s">
        <v>342</v>
      </c>
      <c r="C45" s="217" t="s">
        <v>357</v>
      </c>
      <c r="D45" s="217" t="s">
        <v>358</v>
      </c>
      <c r="E45" s="217" t="s">
        <v>359</v>
      </c>
      <c r="F45" s="217" t="s">
        <v>360</v>
      </c>
      <c r="G45" s="233" t="s">
        <v>361</v>
      </c>
    </row>
  </sheetData>
  <mergeCells count="7">
    <mergeCell ref="B2:C2"/>
    <mergeCell ref="B6:C6"/>
    <mergeCell ref="D6:F6"/>
    <mergeCell ref="B14:C14"/>
    <mergeCell ref="D14:F14"/>
    <mergeCell ref="B21:C21"/>
    <mergeCell ref="D21:F21"/>
  </mergeCells>
  <dataValidations count="8">
    <dataValidation allowBlank="true" errorStyle="stop" operator="between" prompt="Select a Response" showDropDown="false" showErrorMessage="true" showInputMessage="true" sqref="B4" type="list">
      <formula1>"AWS,GCP,Azure"</formula1>
      <formula2>0</formula2>
    </dataValidation>
    <dataValidation allowBlank="true" errorStyle="stop" operator="between" prompt="Select a Response" showDropDown="false" showErrorMessage="true" showInputMessage="true" sqref="E4" type="list">
      <formula1>"1,2,3,4,5"</formula1>
      <formula2>0</formula2>
    </dataValidation>
    <dataValidation allowBlank="true" errorStyle="stop" operator="between" prompt="Select a Response" showDropDown="false" showErrorMessage="true" showInputMessage="true" sqref="F4" type="list">
      <formula1>"MS SQL Database,Oracle Database"</formula1>
      <formula2>0</formula2>
    </dataValidation>
    <dataValidation allowBlank="true" errorStyle="stop" operator="between" prompt="Select a Response" showDropDown="false" showErrorMessage="true" showInputMessage="true" sqref="G4" type="list">
      <formula1>"DB on Nodes,Cloud Managed Database"</formula1>
      <formula2>0</formula2>
    </dataValidation>
    <dataValidation allowBlank="true" errorStyle="stop" operator="between" prompt="Select a Response" showDropDown="false" showErrorMessage="true" showInputMessage="true" sqref="H4" type="list">
      <formula1>"Cloud managed,BYOL"</formula1>
      <formula2>0</formula2>
    </dataValidation>
    <dataValidation allowBlank="true" errorStyle="stop" operator="between" prompt="Select a Response" showDropDown="false" showErrorMessage="true" showInputMessage="true" sqref="I4:J4" type="list">
      <formula1>"Yes,No"</formula1>
      <formula2>0</formula2>
    </dataValidation>
    <dataValidation allowBlank="true" errorStyle="stop" operator="between" prompt="Select a Response" showDropDown="false" showErrorMessage="true" showInputMessage="true" sqref="D4" type="list">
      <formula1>"2,3"</formula1>
      <formula2>0</formula2>
    </dataValidation>
    <dataValidation allowBlank="true" errorStyle="stop" operator="between" prompt="Select a Response" showDropDown="false" showErrorMessage="true" showInputMessage="true" sqref="C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6C0A"/>
    <pageSetUpPr fitToPage="false"/>
  </sheetPr>
  <dimension ref="B2:L5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B21" activeCellId="0" sqref="B21"/>
    </sheetView>
  </sheetViews>
  <sheetFormatPr defaultColWidth="9.1484375" defaultRowHeight="15" zeroHeight="false" outlineLevelRow="0" outlineLevelCol="0"/>
  <cols>
    <col collapsed="false" customWidth="false" hidden="false" outlineLevel="0" max="1" min="1" style="234" width="9.14"/>
    <col collapsed="false" customWidth="true" hidden="false" outlineLevel="0" max="2" min="2" style="234" width="54.43"/>
    <col collapsed="false" customWidth="true" hidden="false" outlineLevel="0" max="3" min="3" style="235" width="16.84"/>
    <col collapsed="false" customWidth="true" hidden="false" outlineLevel="0" max="4" min="4" style="234" width="33.29"/>
    <col collapsed="false" customWidth="true" hidden="false" outlineLevel="0" max="5" min="5" style="234" width="17.71"/>
    <col collapsed="false" customWidth="true" hidden="false" outlineLevel="0" max="6" min="6" style="235" width="14.14"/>
    <col collapsed="false" customWidth="true" hidden="false" outlineLevel="0" max="8" min="7" style="235" width="14.29"/>
    <col collapsed="false" customWidth="true" hidden="false" outlineLevel="0" max="9" min="9" style="235" width="14.14"/>
    <col collapsed="false" customWidth="true" hidden="false" outlineLevel="0" max="11" min="10" style="235" width="14.29"/>
    <col collapsed="false" customWidth="true" hidden="false" outlineLevel="0" max="12" min="12" style="234" width="18.42"/>
    <col collapsed="false" customWidth="true" hidden="false" outlineLevel="0" max="13" min="13" style="234" width="16.29"/>
    <col collapsed="false" customWidth="true" hidden="false" outlineLevel="0" max="14" min="14" style="234" width="23.71"/>
    <col collapsed="false" customWidth="true" hidden="false" outlineLevel="0" max="15" min="15" style="234" width="31"/>
    <col collapsed="false" customWidth="false" hidden="false" outlineLevel="0" max="16" min="16" style="234" width="9.14"/>
    <col collapsed="false" customWidth="true" hidden="false" outlineLevel="0" max="17" min="17" style="234" width="27.57"/>
    <col collapsed="false" customWidth="true" hidden="false" outlineLevel="0" max="18" min="18" style="234" width="14"/>
    <col collapsed="false" customWidth="true" hidden="false" outlineLevel="0" max="19" min="19" style="234" width="16.29"/>
    <col collapsed="false" customWidth="true" hidden="false" outlineLevel="0" max="20" min="20" style="234" width="21.43"/>
    <col collapsed="false" customWidth="true" hidden="false" outlineLevel="0" max="21" min="21" style="234" width="24.42"/>
    <col collapsed="false" customWidth="false" hidden="false" outlineLevel="0" max="16384" min="22" style="234" width="9.14"/>
  </cols>
  <sheetData>
    <row r="2" customFormat="false" ht="18.75" hidden="false" customHeight="true" outlineLevel="0" collapsed="false">
      <c r="B2" s="235"/>
      <c r="C2" s="236" t="s">
        <v>294</v>
      </c>
      <c r="D2" s="236" t="s">
        <v>295</v>
      </c>
      <c r="E2" s="237" t="s">
        <v>362</v>
      </c>
      <c r="F2" s="236" t="s">
        <v>297</v>
      </c>
      <c r="I2" s="238"/>
      <c r="J2" s="238"/>
      <c r="K2" s="238"/>
    </row>
    <row r="3" customFormat="false" ht="18.75" hidden="false" customHeight="true" outlineLevel="0" collapsed="false">
      <c r="B3" s="235"/>
      <c r="C3" s="239" t="str">
        <f aca="false">'Cloud sizing inputs'!B4</f>
        <v>GCP</v>
      </c>
      <c r="D3" s="239" t="str">
        <f aca="false">'Cloud sizing inputs'!C4</f>
        <v>Mumbai</v>
      </c>
      <c r="E3" s="240" t="s">
        <v>363</v>
      </c>
      <c r="F3" s="236" t="n">
        <f aca="false">'Cloud sizing inputs'!E4</f>
        <v>5</v>
      </c>
      <c r="H3" s="241"/>
      <c r="I3" s="238"/>
      <c r="J3" s="238"/>
      <c r="K3" s="238"/>
    </row>
    <row r="4" customFormat="false" ht="15" hidden="false" customHeight="false" outlineLevel="0" collapsed="false">
      <c r="B4" s="242"/>
      <c r="C4" s="242"/>
      <c r="D4" s="242"/>
      <c r="E4" s="242"/>
      <c r="F4" s="242"/>
      <c r="G4" s="242"/>
      <c r="H4" s="242"/>
      <c r="I4" s="242"/>
      <c r="J4" s="242"/>
      <c r="K4" s="242"/>
    </row>
    <row r="5" s="235" customFormat="true" ht="64.5" hidden="false" customHeight="true" outlineLevel="0" collapsed="false">
      <c r="B5" s="243" t="s">
        <v>364</v>
      </c>
      <c r="C5" s="243" t="s">
        <v>344</v>
      </c>
      <c r="D5" s="243" t="s">
        <v>365</v>
      </c>
      <c r="E5" s="243" t="s">
        <v>366</v>
      </c>
      <c r="F5" s="243" t="s">
        <v>367</v>
      </c>
      <c r="G5" s="243" t="s">
        <v>368</v>
      </c>
      <c r="H5" s="243" t="s">
        <v>369</v>
      </c>
      <c r="I5" s="243" t="s">
        <v>370</v>
      </c>
      <c r="J5" s="243" t="s">
        <v>371</v>
      </c>
      <c r="K5" s="243" t="s">
        <v>372</v>
      </c>
    </row>
    <row r="6" customFormat="false" ht="15" hidden="false" customHeight="false" outlineLevel="0" collapsed="false">
      <c r="B6" s="244" t="s">
        <v>373</v>
      </c>
      <c r="C6" s="245"/>
      <c r="D6" s="245"/>
      <c r="E6" s="245"/>
      <c r="F6" s="245"/>
      <c r="G6" s="245"/>
      <c r="H6" s="245"/>
      <c r="I6" s="245"/>
      <c r="J6" s="245"/>
      <c r="K6" s="245"/>
    </row>
    <row r="7" customFormat="false" ht="15" hidden="false" customHeight="false" outlineLevel="0" collapsed="false">
      <c r="B7" s="246" t="s">
        <v>317</v>
      </c>
      <c r="C7" s="247" t="n">
        <v>1</v>
      </c>
      <c r="D7" s="248" t="str">
        <f aca="false">'Cloud sizing inputs'!N8</f>
        <v>GKE</v>
      </c>
      <c r="E7" s="249"/>
      <c r="F7" s="245"/>
      <c r="G7" s="245"/>
      <c r="H7" s="245"/>
      <c r="I7" s="245"/>
      <c r="J7" s="245"/>
      <c r="K7" s="245"/>
    </row>
    <row r="8" customFormat="false" ht="15" hidden="false" customHeight="false" outlineLevel="0" collapsed="false">
      <c r="B8" s="250" t="s">
        <v>310</v>
      </c>
      <c r="C8" s="251" t="e">
        <f aca="false">'Cloud sizing inputs'!N9</f>
        <v>#VALUE!</v>
      </c>
      <c r="D8" s="252" t="s">
        <v>374</v>
      </c>
      <c r="E8" s="253" t="s">
        <v>375</v>
      </c>
      <c r="F8" s="254" t="n">
        <v>16</v>
      </c>
      <c r="G8" s="254" t="n">
        <v>32</v>
      </c>
      <c r="H8" s="247" t="n">
        <v>300</v>
      </c>
      <c r="I8" s="247" t="e">
        <f aca="false">F8*C8</f>
        <v>#VALUE!</v>
      </c>
      <c r="J8" s="247" t="e">
        <f aca="false">G8*C8</f>
        <v>#VALUE!</v>
      </c>
      <c r="K8" s="255" t="e">
        <f aca="false">H8*C8/1024</f>
        <v>#VALUE!</v>
      </c>
    </row>
    <row r="9" customFormat="false" ht="15" hidden="false" customHeight="false" outlineLevel="0" collapsed="false">
      <c r="B9" s="256" t="s">
        <v>376</v>
      </c>
      <c r="C9" s="254" t="n">
        <f aca="false">'Cloud sizing inputs'!N20</f>
        <v>2</v>
      </c>
      <c r="D9" s="252" t="s">
        <v>374</v>
      </c>
      <c r="E9" s="253" t="s">
        <v>377</v>
      </c>
      <c r="F9" s="254" t="n">
        <v>8</v>
      </c>
      <c r="G9" s="254" t="n">
        <v>16</v>
      </c>
      <c r="H9" s="254" t="n">
        <v>512</v>
      </c>
      <c r="I9" s="254" t="n">
        <f aca="false">F9*C9</f>
        <v>16</v>
      </c>
      <c r="J9" s="254" t="n">
        <f aca="false">G9*C9</f>
        <v>32</v>
      </c>
      <c r="K9" s="257" t="n">
        <f aca="false">H9*C9/1024</f>
        <v>1</v>
      </c>
    </row>
    <row r="10" customFormat="false" ht="15" hidden="false" customHeight="false" outlineLevel="0" collapsed="false">
      <c r="B10" s="256" t="s">
        <v>378</v>
      </c>
      <c r="C10" s="254" t="n">
        <f aca="false">'Cloud sizing inputs'!N20</f>
        <v>2</v>
      </c>
      <c r="D10" s="252" t="s">
        <v>374</v>
      </c>
      <c r="E10" s="253" t="s">
        <v>375</v>
      </c>
      <c r="F10" s="254" t="n">
        <v>8</v>
      </c>
      <c r="G10" s="254" t="n">
        <v>16</v>
      </c>
      <c r="H10" s="254" t="e">
        <f aca="false">C8*512</f>
        <v>#VALUE!</v>
      </c>
      <c r="I10" s="254" t="n">
        <f aca="false">F10*C10</f>
        <v>16</v>
      </c>
      <c r="J10" s="254" t="n">
        <f aca="false">G10*C10</f>
        <v>32</v>
      </c>
      <c r="K10" s="257" t="e">
        <f aca="false">H10*C10/1024</f>
        <v>#VALUE!</v>
      </c>
    </row>
    <row r="11" customFormat="false" ht="13.5" hidden="false" customHeight="true" outlineLevel="0" collapsed="false">
      <c r="B11" s="250"/>
      <c r="C11" s="247"/>
      <c r="D11" s="220"/>
      <c r="E11" s="220"/>
      <c r="F11" s="247"/>
      <c r="G11" s="247"/>
      <c r="H11" s="247"/>
      <c r="I11" s="247"/>
      <c r="J11" s="247"/>
      <c r="K11" s="247"/>
    </row>
    <row r="12" s="258" customFormat="true" ht="15" hidden="false" customHeight="false" outlineLevel="0" collapsed="false">
      <c r="B12" s="259" t="str">
        <f aca="false">'Cloud sizing inputs'!F4</f>
        <v>Oracle Database</v>
      </c>
      <c r="C12" s="260"/>
      <c r="D12" s="260"/>
      <c r="E12" s="260"/>
      <c r="F12" s="260"/>
      <c r="G12" s="260"/>
      <c r="H12" s="260"/>
      <c r="I12" s="260"/>
      <c r="J12" s="260"/>
      <c r="K12" s="260"/>
    </row>
    <row r="13" s="258" customFormat="true" ht="15" hidden="false" customHeight="false" outlineLevel="0" collapsed="false">
      <c r="B13" s="261" t="str">
        <f aca="false">'Cloud sizing inputs'!N14</f>
        <v>Cloud Managed Database</v>
      </c>
      <c r="C13" s="254" t="n">
        <v>2</v>
      </c>
      <c r="D13" s="223" t="str">
        <f aca="false">'Cloud sizing inputs'!N16</f>
        <v>Bare Metal Solution for Oracle</v>
      </c>
      <c r="E13" s="253" t="s">
        <v>375</v>
      </c>
      <c r="F13" s="262" t="e">
        <f aca="false">'Cloud sizing inputs'!N11</f>
        <v>#N/A</v>
      </c>
      <c r="G13" s="262" t="e">
        <f aca="false">F13*8</f>
        <v>#N/A</v>
      </c>
      <c r="H13" s="262" t="n">
        <v>300</v>
      </c>
      <c r="I13" s="262" t="e">
        <f aca="false">F13*C13</f>
        <v>#N/A</v>
      </c>
      <c r="J13" s="254" t="e">
        <f aca="false">G13*C13</f>
        <v>#N/A</v>
      </c>
      <c r="K13" s="257" t="n">
        <f aca="false">H13*C13/1024</f>
        <v>0.5859375</v>
      </c>
    </row>
    <row r="14" s="258" customFormat="true" ht="15" hidden="false" customHeight="false" outlineLevel="0" collapsed="false">
      <c r="B14" s="263" t="str">
        <f aca="false">'Cloud sizing inputs'!N15</f>
        <v>Oracle License</v>
      </c>
      <c r="C14" s="254" t="n">
        <v>2</v>
      </c>
      <c r="D14" s="223" t="str">
        <f aca="false">'Cloud sizing inputs'!H4</f>
        <v>Cloud managed</v>
      </c>
      <c r="E14" s="264"/>
      <c r="F14" s="262"/>
      <c r="G14" s="262"/>
      <c r="H14" s="262"/>
      <c r="I14" s="262"/>
      <c r="J14" s="254"/>
      <c r="K14" s="254"/>
    </row>
    <row r="15" s="258" customFormat="true" ht="15" hidden="false" customHeight="false" outlineLevel="0" collapsed="false">
      <c r="B15" s="256" t="s">
        <v>379</v>
      </c>
      <c r="C15" s="254" t="n">
        <v>1</v>
      </c>
      <c r="D15" s="265" t="n">
        <f aca="false">ROUNDUP('Cloud sizing inputs'!N17/5,0)*5</f>
        <v>30</v>
      </c>
      <c r="E15" s="266"/>
      <c r="F15" s="262"/>
      <c r="G15" s="262"/>
      <c r="H15" s="262" t="n">
        <f aca="false">'Cloud sizing inputs'!N12</f>
        <v>3000</v>
      </c>
      <c r="I15" s="262"/>
      <c r="J15" s="254"/>
      <c r="K15" s="257" t="n">
        <f aca="false">H15/1024</f>
        <v>2.9296875</v>
      </c>
    </row>
    <row r="16" s="258" customFormat="true" ht="15" hidden="false" customHeight="false" outlineLevel="0" collapsed="false">
      <c r="B16" s="256"/>
      <c r="C16" s="254"/>
      <c r="D16" s="266"/>
      <c r="E16" s="266"/>
      <c r="F16" s="262"/>
      <c r="G16" s="262"/>
      <c r="H16" s="262"/>
      <c r="I16" s="262"/>
      <c r="J16" s="254"/>
      <c r="K16" s="267"/>
    </row>
    <row r="17" s="258" customFormat="true" ht="15" hidden="false" customHeight="false" outlineLevel="0" collapsed="false">
      <c r="B17" s="259" t="str">
        <f aca="false">CONCATENATE('Cloud sizing inputs'!F4," - Reporting")</f>
        <v>Oracle Database - Reporting</v>
      </c>
      <c r="C17" s="260"/>
      <c r="D17" s="260"/>
      <c r="E17" s="260"/>
      <c r="F17" s="260"/>
      <c r="G17" s="260"/>
      <c r="H17" s="260"/>
      <c r="I17" s="260"/>
      <c r="J17" s="260"/>
      <c r="K17" s="260"/>
    </row>
    <row r="18" s="258" customFormat="true" ht="15" hidden="false" customHeight="false" outlineLevel="0" collapsed="false">
      <c r="B18" s="258" t="str">
        <f aca="false">B13</f>
        <v>Cloud Managed Database</v>
      </c>
      <c r="C18" s="254" t="n">
        <f aca="false">'Cloud sizing inputs'!N21</f>
        <v>1</v>
      </c>
      <c r="D18" s="223" t="str">
        <f aca="false">D13</f>
        <v>Bare Metal Solution for Oracle</v>
      </c>
      <c r="E18" s="264" t="str">
        <f aca="false">E13</f>
        <v>Reserved</v>
      </c>
      <c r="F18" s="254" t="e">
        <f aca="false">F13</f>
        <v>#N/A</v>
      </c>
      <c r="G18" s="254" t="e">
        <f aca="false">G13</f>
        <v>#N/A</v>
      </c>
      <c r="H18" s="254" t="n">
        <f aca="false">H13</f>
        <v>300</v>
      </c>
      <c r="I18" s="254" t="e">
        <f aca="false">F18*C18</f>
        <v>#N/A</v>
      </c>
      <c r="J18" s="254" t="e">
        <f aca="false">G18*C18</f>
        <v>#N/A</v>
      </c>
      <c r="K18" s="257" t="n">
        <f aca="false">H18*C18/1024</f>
        <v>0.29296875</v>
      </c>
    </row>
    <row r="19" s="258" customFormat="true" ht="15" hidden="false" customHeight="false" outlineLevel="0" collapsed="false">
      <c r="B19" s="263" t="str">
        <f aca="false">B14</f>
        <v>Oracle License</v>
      </c>
      <c r="C19" s="254" t="n">
        <f aca="false">'Cloud sizing inputs'!N21</f>
        <v>1</v>
      </c>
      <c r="D19" s="223" t="str">
        <f aca="false">D14</f>
        <v>Cloud managed</v>
      </c>
      <c r="E19" s="264"/>
      <c r="F19" s="254"/>
      <c r="G19" s="254"/>
      <c r="H19" s="254"/>
      <c r="I19" s="254"/>
      <c r="J19" s="254"/>
      <c r="K19" s="254"/>
    </row>
    <row r="20" s="258" customFormat="true" ht="15" hidden="false" customHeight="false" outlineLevel="0" collapsed="false">
      <c r="B20" s="263" t="str">
        <f aca="false">B15</f>
        <v>Persistance DB Storage</v>
      </c>
      <c r="C20" s="254" t="n">
        <f aca="false">'Cloud sizing inputs'!N21</f>
        <v>1</v>
      </c>
      <c r="D20" s="265" t="n">
        <f aca="false">D15</f>
        <v>30</v>
      </c>
      <c r="E20" s="268"/>
      <c r="F20" s="262"/>
      <c r="G20" s="254"/>
      <c r="H20" s="254" t="n">
        <f aca="false">H15</f>
        <v>3000</v>
      </c>
      <c r="I20" s="262"/>
      <c r="J20" s="254"/>
      <c r="K20" s="257" t="n">
        <f aca="false">H20/1024</f>
        <v>2.9296875</v>
      </c>
    </row>
    <row r="21" customFormat="false" ht="15" hidden="false" customHeight="false" outlineLevel="0" collapsed="false">
      <c r="B21" s="250"/>
      <c r="C21" s="247"/>
      <c r="D21" s="269"/>
      <c r="E21" s="269"/>
      <c r="F21" s="247"/>
      <c r="G21" s="247"/>
      <c r="H21" s="247"/>
      <c r="I21" s="247"/>
      <c r="J21" s="247"/>
      <c r="K21" s="270"/>
    </row>
    <row r="22" customFormat="false" ht="15" hidden="false" customHeight="false" outlineLevel="0" collapsed="false">
      <c r="B22" s="271" t="s">
        <v>380</v>
      </c>
      <c r="C22" s="272"/>
      <c r="D22" s="272"/>
      <c r="E22" s="272"/>
      <c r="F22" s="272"/>
      <c r="G22" s="272"/>
      <c r="H22" s="272"/>
      <c r="I22" s="272"/>
      <c r="J22" s="272"/>
      <c r="K22" s="272"/>
    </row>
    <row r="23" customFormat="false" ht="15" hidden="false" customHeight="false" outlineLevel="0" collapsed="false">
      <c r="B23" s="250" t="s">
        <v>313</v>
      </c>
      <c r="C23" s="247" t="n">
        <v>1</v>
      </c>
      <c r="D23" s="273" t="str">
        <f aca="false">'Cloud sizing inputs'!N18</f>
        <v>Cloud Storage</v>
      </c>
      <c r="E23" s="264" t="s">
        <v>381</v>
      </c>
      <c r="F23" s="247"/>
      <c r="G23" s="247"/>
      <c r="H23" s="262" t="n">
        <f aca="false">'Cloud sizing inputs'!N13</f>
        <v>8700</v>
      </c>
      <c r="I23" s="247"/>
      <c r="J23" s="247"/>
      <c r="K23" s="257" t="n">
        <f aca="false">H23/1024</f>
        <v>8.49609375</v>
      </c>
    </row>
    <row r="24" customFormat="false" ht="15" hidden="false" customHeight="false" outlineLevel="0" collapsed="false">
      <c r="B24" s="274"/>
      <c r="C24" s="247"/>
      <c r="D24" s="220"/>
      <c r="E24" s="220"/>
      <c r="F24" s="247"/>
      <c r="G24" s="247"/>
      <c r="H24" s="247"/>
      <c r="I24" s="247"/>
      <c r="J24" s="247"/>
      <c r="K24" s="247"/>
    </row>
    <row r="25" customFormat="false" ht="15" hidden="false" customHeight="false" outlineLevel="0" collapsed="false">
      <c r="B25" s="271" t="s">
        <v>382</v>
      </c>
      <c r="C25" s="272"/>
      <c r="D25" s="272"/>
      <c r="E25" s="272"/>
      <c r="F25" s="272"/>
      <c r="G25" s="272"/>
      <c r="H25" s="272"/>
      <c r="I25" s="272"/>
      <c r="J25" s="272"/>
      <c r="K25" s="272"/>
    </row>
    <row r="26" customFormat="false" ht="15" hidden="false" customHeight="false" outlineLevel="0" collapsed="false">
      <c r="B26" s="250" t="s">
        <v>331</v>
      </c>
      <c r="C26" s="247" t="n">
        <v>3</v>
      </c>
      <c r="D26" s="273" t="str">
        <f aca="false">'Cloud sizing inputs'!N19</f>
        <v>MemoryStore</v>
      </c>
      <c r="E26" s="253" t="s">
        <v>375</v>
      </c>
      <c r="F26" s="247"/>
      <c r="G26" s="254" t="e">
        <f aca="false">IF(F13&lt;33,16,32)</f>
        <v>#N/A</v>
      </c>
      <c r="H26" s="254"/>
      <c r="I26" s="247"/>
      <c r="J26" s="247" t="e">
        <f aca="false">G26*C26</f>
        <v>#N/A</v>
      </c>
      <c r="K26" s="247"/>
      <c r="L26" s="275"/>
    </row>
    <row r="27" customFormat="false" ht="15" hidden="false" customHeight="false" outlineLevel="0" collapsed="false">
      <c r="B27" s="276"/>
      <c r="C27" s="247"/>
      <c r="D27" s="220"/>
      <c r="E27" s="220"/>
      <c r="F27" s="247"/>
      <c r="G27" s="247"/>
      <c r="H27" s="247"/>
      <c r="I27" s="247"/>
      <c r="J27" s="247"/>
      <c r="K27" s="247"/>
    </row>
    <row r="28" customFormat="false" ht="15" hidden="false" customHeight="false" outlineLevel="0" collapsed="false">
      <c r="B28" s="271" t="s">
        <v>383</v>
      </c>
      <c r="C28" s="272"/>
      <c r="D28" s="272"/>
      <c r="E28" s="272"/>
      <c r="F28" s="272"/>
      <c r="G28" s="272"/>
      <c r="H28" s="272"/>
      <c r="I28" s="272"/>
      <c r="J28" s="272"/>
      <c r="K28" s="272"/>
    </row>
    <row r="29" customFormat="false" ht="15" hidden="false" customHeight="false" outlineLevel="0" collapsed="false">
      <c r="B29" s="250" t="s">
        <v>384</v>
      </c>
      <c r="C29" s="247" t="n">
        <v>1</v>
      </c>
      <c r="D29" s="220" t="s">
        <v>385</v>
      </c>
      <c r="E29" s="253" t="s">
        <v>375</v>
      </c>
      <c r="F29" s="247" t="e">
        <f aca="false">IF(C8&lt;3,2,4)</f>
        <v>#VALUE!</v>
      </c>
      <c r="G29" s="247" t="e">
        <f aca="false">F29*2</f>
        <v>#VALUE!</v>
      </c>
      <c r="H29" s="247" t="n">
        <v>100</v>
      </c>
      <c r="I29" s="247" t="e">
        <f aca="false">F29*C29</f>
        <v>#VALUE!</v>
      </c>
      <c r="J29" s="247" t="e">
        <f aca="false">G29*C29</f>
        <v>#VALUE!</v>
      </c>
      <c r="K29" s="255" t="n">
        <f aca="false">H29/1024</f>
        <v>0.09765625</v>
      </c>
    </row>
    <row r="30" customFormat="false" ht="15" hidden="false" customHeight="false" outlineLevel="0" collapsed="false">
      <c r="B30" s="250" t="s">
        <v>386</v>
      </c>
      <c r="C30" s="247" t="e">
        <f aca="false">IF(C8&lt;4,10,20)</f>
        <v>#VALUE!</v>
      </c>
      <c r="D30" s="220"/>
      <c r="E30" s="220"/>
      <c r="F30" s="247"/>
      <c r="G30" s="247"/>
      <c r="H30" s="247"/>
      <c r="I30" s="247"/>
      <c r="J30" s="247"/>
      <c r="K30" s="247"/>
    </row>
    <row r="31" customFormat="false" ht="15" hidden="false" customHeight="false" outlineLevel="0" collapsed="false">
      <c r="B31" s="250" t="s">
        <v>336</v>
      </c>
      <c r="C31" s="247"/>
      <c r="D31" s="220" t="str">
        <f aca="false">'Cloud sizing inputs'!N22</f>
        <v>Artifact Registry</v>
      </c>
      <c r="E31" s="264"/>
      <c r="F31" s="247"/>
      <c r="G31" s="247"/>
      <c r="H31" s="247"/>
      <c r="I31" s="247"/>
      <c r="J31" s="247"/>
      <c r="K31" s="255" t="e">
        <f aca="false">IF(C8&lt;4,1,2)</f>
        <v>#VALUE!</v>
      </c>
    </row>
    <row r="32" s="235" customFormat="true" ht="15" hidden="false" customHeight="false" outlineLevel="0" collapsed="false">
      <c r="B32" s="250" t="s">
        <v>387</v>
      </c>
      <c r="C32" s="247" t="n">
        <v>1</v>
      </c>
      <c r="D32" s="269"/>
      <c r="E32" s="269"/>
      <c r="F32" s="247"/>
      <c r="G32" s="247"/>
      <c r="H32" s="247"/>
      <c r="I32" s="247"/>
      <c r="J32" s="247"/>
      <c r="K32" s="247"/>
    </row>
    <row r="33" customFormat="false" ht="15" hidden="false" customHeight="false" outlineLevel="0" collapsed="false">
      <c r="B33" s="250" t="s">
        <v>388</v>
      </c>
      <c r="C33" s="247" t="n">
        <v>1</v>
      </c>
      <c r="D33" s="220"/>
      <c r="E33" s="220"/>
      <c r="F33" s="247"/>
      <c r="G33" s="247"/>
      <c r="H33" s="247"/>
      <c r="I33" s="247"/>
      <c r="J33" s="247"/>
      <c r="K33" s="247"/>
    </row>
    <row r="34" customFormat="false" ht="15" hidden="false" customHeight="false" outlineLevel="0" collapsed="false">
      <c r="B34" s="250" t="str">
        <f aca="false">'Cloud sizing inputs'!N23</f>
        <v>Cloud NAT</v>
      </c>
      <c r="C34" s="247" t="n">
        <f aca="false">'Cloud sizing inputs'!D4</f>
        <v>2</v>
      </c>
      <c r="D34" s="220"/>
      <c r="E34" s="220"/>
      <c r="F34" s="247"/>
      <c r="G34" s="247"/>
      <c r="H34" s="247"/>
      <c r="I34" s="247"/>
      <c r="J34" s="247"/>
      <c r="K34" s="254" t="e">
        <f aca="false">0.75*C8</f>
        <v>#VALUE!</v>
      </c>
    </row>
    <row r="35" customFormat="false" ht="15" hidden="false" customHeight="true" outlineLevel="0" collapsed="false">
      <c r="B35" s="250" t="s">
        <v>389</v>
      </c>
      <c r="C35" s="247"/>
      <c r="D35" s="220" t="str">
        <f aca="false">D23</f>
        <v>Cloud Storage</v>
      </c>
      <c r="E35" s="247" t="s">
        <v>390</v>
      </c>
      <c r="F35" s="247"/>
      <c r="G35" s="247"/>
      <c r="H35" s="247"/>
      <c r="I35" s="247"/>
      <c r="J35" s="247"/>
      <c r="K35" s="255" t="n">
        <f aca="false">K15*5/2</f>
        <v>7.32421875</v>
      </c>
    </row>
    <row r="53" customFormat="false" ht="15" hidden="false" customHeight="false" outlineLevel="0" collapsed="false">
      <c r="B53" s="277"/>
    </row>
  </sheetData>
  <mergeCells count="2">
    <mergeCell ref="B4:K4"/>
    <mergeCell ref="E35:J35"/>
  </mergeCells>
  <dataValidations count="1">
    <dataValidation allowBlank="true" errorStyle="stop" operator="between" prompt="IOPS" showDropDown="false" showErrorMessage="true" showInputMessage="true" sqref="D15 D20"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6C0A"/>
    <pageSetUpPr fitToPage="false"/>
  </sheetPr>
  <dimension ref="B3: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1" activeCellId="0" sqref="B21"/>
    </sheetView>
  </sheetViews>
  <sheetFormatPr defaultColWidth="8.6796875" defaultRowHeight="15" zeroHeight="false" outlineLevelRow="0" outlineLevelCol="0"/>
  <cols>
    <col collapsed="false" customWidth="true" hidden="false" outlineLevel="0" max="2" min="2" style="1" width="34.71"/>
  </cols>
  <sheetData>
    <row r="3" s="9" customFormat="true" ht="15" hidden="false" customHeight="false" outlineLevel="0" collapsed="false">
      <c r="B3" s="278" t="s">
        <v>391</v>
      </c>
      <c r="C3" s="279" t="n">
        <v>1</v>
      </c>
      <c r="D3" s="280"/>
      <c r="E3" s="280"/>
      <c r="F3" s="279"/>
      <c r="G3" s="279"/>
      <c r="H3" s="279"/>
      <c r="I3" s="279"/>
      <c r="J3" s="279"/>
      <c r="K3" s="279" t="e">
        <f aca="false">1.5*'Cloud Sizing'!C8</f>
        <v>#VALUE!</v>
      </c>
    </row>
    <row r="4" s="9" customFormat="true" ht="15" hidden="false" customHeight="false" outlineLevel="0" collapsed="false">
      <c r="B4" s="278" t="s">
        <v>392</v>
      </c>
      <c r="C4" s="279" t="n">
        <v>1</v>
      </c>
      <c r="D4" s="280"/>
      <c r="E4" s="280"/>
      <c r="F4" s="279"/>
      <c r="G4" s="279"/>
      <c r="H4" s="279"/>
      <c r="I4" s="279"/>
      <c r="J4" s="279"/>
      <c r="K4" s="279"/>
    </row>
    <row r="5" s="9" customFormat="true" ht="15" hidden="false" customHeight="false" outlineLevel="0" collapsed="false">
      <c r="B5" s="278" t="s">
        <v>393</v>
      </c>
      <c r="C5" s="279" t="n">
        <v>1</v>
      </c>
      <c r="D5" s="280"/>
      <c r="E5" s="280"/>
      <c r="F5" s="279"/>
      <c r="G5" s="279"/>
      <c r="H5" s="279"/>
      <c r="I5" s="279"/>
      <c r="J5" s="279"/>
      <c r="K5" s="279"/>
    </row>
    <row r="6" s="9" customFormat="true" ht="15" hidden="false" customHeight="false" outlineLevel="0" collapsed="false">
      <c r="B6" s="278" t="s">
        <v>394</v>
      </c>
      <c r="C6" s="281" t="n">
        <v>1</v>
      </c>
      <c r="D6" s="282"/>
      <c r="E6" s="282"/>
      <c r="F6" s="281"/>
      <c r="G6" s="281"/>
      <c r="H6" s="281"/>
      <c r="I6" s="281"/>
      <c r="J6" s="281"/>
      <c r="K6" s="281"/>
    </row>
    <row r="7" s="9" customFormat="true" ht="15" hidden="false" customHeight="false" outlineLevel="0" collapsed="false">
      <c r="B7" s="278" t="s">
        <v>395</v>
      </c>
      <c r="C7" s="281" t="n">
        <v>1</v>
      </c>
      <c r="D7" s="282"/>
      <c r="E7" s="282"/>
      <c r="F7" s="281"/>
      <c r="G7" s="281"/>
      <c r="H7" s="281"/>
      <c r="I7" s="281"/>
      <c r="J7" s="281"/>
      <c r="K7" s="281"/>
    </row>
    <row r="8" s="9" customFormat="true" ht="15" hidden="false" customHeight="false" outlineLevel="0" collapsed="false">
      <c r="B8" s="278" t="s">
        <v>396</v>
      </c>
      <c r="C8" s="281" t="n">
        <v>1</v>
      </c>
      <c r="D8" s="282"/>
      <c r="E8" s="282"/>
      <c r="F8" s="281"/>
      <c r="G8" s="281"/>
      <c r="H8" s="281"/>
      <c r="I8" s="281"/>
      <c r="J8" s="281"/>
      <c r="K8" s="281"/>
    </row>
    <row r="9" s="9" customFormat="true" ht="15" hidden="false" customHeight="false" outlineLevel="0" collapsed="false">
      <c r="B9" s="278" t="s">
        <v>397</v>
      </c>
      <c r="C9" s="281" t="n">
        <v>1</v>
      </c>
      <c r="D9" s="282"/>
      <c r="E9" s="282"/>
      <c r="F9" s="281"/>
      <c r="G9" s="281"/>
      <c r="H9" s="281"/>
      <c r="I9" s="281"/>
      <c r="J9" s="281"/>
      <c r="K9" s="281"/>
    </row>
    <row r="10" s="9" customFormat="true" ht="15" hidden="false" customHeight="false" outlineLevel="0" collapsed="false">
      <c r="B10" s="278" t="s">
        <v>398</v>
      </c>
      <c r="C10" s="281" t="n">
        <v>1</v>
      </c>
      <c r="D10" s="282"/>
      <c r="E10" s="282"/>
      <c r="F10" s="281"/>
      <c r="G10" s="281"/>
      <c r="H10" s="281"/>
      <c r="I10" s="281"/>
      <c r="J10" s="281"/>
      <c r="K10" s="281"/>
    </row>
    <row r="11" s="9" customFormat="true" ht="15" hidden="false" customHeight="false" outlineLevel="0" collapsed="false">
      <c r="B11" s="283" t="s">
        <v>399</v>
      </c>
      <c r="C11" s="281" t="n">
        <v>1</v>
      </c>
      <c r="D11" s="282"/>
      <c r="E11" s="282"/>
      <c r="F11" s="281"/>
      <c r="G11" s="281"/>
      <c r="H11" s="281"/>
      <c r="I11" s="281"/>
      <c r="J11" s="281"/>
      <c r="K11" s="281"/>
    </row>
    <row r="12" s="9" customFormat="true" ht="15" hidden="false" customHeight="false" outlineLevel="0" collapsed="false">
      <c r="B12" s="278" t="s">
        <v>400</v>
      </c>
      <c r="C12" s="281" t="n">
        <v>1</v>
      </c>
      <c r="D12" s="282"/>
      <c r="E12" s="282"/>
      <c r="F12" s="281"/>
      <c r="G12" s="281"/>
      <c r="H12" s="281"/>
      <c r="I12" s="281"/>
      <c r="J12" s="281"/>
      <c r="K12" s="281"/>
    </row>
    <row r="13" s="9" customFormat="true" ht="41.75" hidden="false" customHeight="false" outlineLevel="0" collapsed="false">
      <c r="B13" s="278" t="s">
        <v>401</v>
      </c>
      <c r="C13" s="279" t="n">
        <v>1</v>
      </c>
      <c r="D13" s="280" t="s">
        <v>402</v>
      </c>
      <c r="E13" s="280"/>
      <c r="F13" s="279"/>
      <c r="G13" s="279"/>
      <c r="H13" s="279"/>
      <c r="I13" s="279"/>
      <c r="J13" s="279"/>
      <c r="K13" s="279"/>
    </row>
    <row r="14" s="9" customFormat="true" ht="41.75" hidden="false" customHeight="true" outlineLevel="0" collapsed="false">
      <c r="B14" s="278" t="s">
        <v>403</v>
      </c>
      <c r="C14" s="279" t="n">
        <v>1</v>
      </c>
      <c r="D14" s="284" t="s">
        <v>404</v>
      </c>
      <c r="E14" s="284"/>
      <c r="F14" s="284"/>
      <c r="G14" s="284"/>
      <c r="H14" s="284"/>
      <c r="I14" s="284"/>
      <c r="J14" s="284"/>
      <c r="K14" s="284"/>
    </row>
  </sheetData>
  <mergeCells count="1">
    <mergeCell ref="D14:K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4" colorId="64" zoomScale="80" zoomScaleNormal="80" zoomScalePageLayoutView="100" workbookViewId="0">
      <selection pane="topLeft" activeCell="B4" activeCellId="0" sqref="B4"/>
    </sheetView>
  </sheetViews>
  <sheetFormatPr defaultColWidth="24.2890625" defaultRowHeight="15" zeroHeight="false" outlineLevelRow="0" outlineLevelCol="0"/>
  <cols>
    <col collapsed="false" customWidth="true" hidden="false" outlineLevel="0" max="1" min="1" style="199" width="2.57"/>
    <col collapsed="false" customWidth="true" hidden="false" outlineLevel="0" max="2" min="2" style="199" width="55"/>
    <col collapsed="false" customWidth="true" hidden="false" outlineLevel="0" max="3" min="3" style="199" width="14"/>
    <col collapsed="false" customWidth="true" hidden="false" outlineLevel="0" max="4" min="4" style="199" width="13.57"/>
    <col collapsed="false" customWidth="true" hidden="false" outlineLevel="0" max="5" min="5" style="199" width="14"/>
    <col collapsed="false" customWidth="true" hidden="false" outlineLevel="0" max="6" min="6" style="199" width="16"/>
    <col collapsed="false" customWidth="true" hidden="false" outlineLevel="0" max="7" min="7" style="199" width="19.29"/>
    <col collapsed="false" customWidth="true" hidden="false" outlineLevel="0" max="8" min="8" style="199" width="65"/>
    <col collapsed="false" customWidth="false" hidden="false" outlineLevel="0" max="16384" min="9" style="199" width="24.29"/>
  </cols>
  <sheetData>
    <row r="1" customFormat="false" ht="15" hidden="false" customHeight="false" outlineLevel="0" collapsed="false">
      <c r="A1" s="285"/>
      <c r="B1" s="285"/>
      <c r="C1" s="285"/>
    </row>
    <row r="2" customFormat="false" ht="15" hidden="false" customHeight="false" outlineLevel="0" collapsed="false">
      <c r="A2" s="285"/>
      <c r="B2" s="286" t="s">
        <v>405</v>
      </c>
      <c r="C2" s="286"/>
      <c r="D2" s="286"/>
      <c r="E2" s="286"/>
      <c r="F2" s="286"/>
      <c r="G2" s="286"/>
      <c r="H2" s="286" t="s">
        <v>406</v>
      </c>
    </row>
    <row r="3" customFormat="false" ht="15" hidden="false" customHeight="false" outlineLevel="0" collapsed="false">
      <c r="A3" s="285"/>
      <c r="B3" s="287" t="s">
        <v>407</v>
      </c>
      <c r="C3" s="288" t="s">
        <v>408</v>
      </c>
      <c r="D3" s="288" t="s">
        <v>409</v>
      </c>
      <c r="E3" s="288" t="s">
        <v>410</v>
      </c>
      <c r="F3" s="288" t="s">
        <v>411</v>
      </c>
      <c r="G3" s="288" t="s">
        <v>412</v>
      </c>
      <c r="H3" s="217"/>
    </row>
    <row r="4" customFormat="false" ht="15" hidden="false" customHeight="false" outlineLevel="0" collapsed="false">
      <c r="A4" s="285"/>
      <c r="B4" s="289" t="s">
        <v>413</v>
      </c>
      <c r="C4" s="290" t="n">
        <f aca="false">'Customer Volumes'!D4</f>
        <v>4650</v>
      </c>
      <c r="D4" s="290" t="n">
        <f aca="false">'Customer Volumes'!E4</f>
        <v>4882.5</v>
      </c>
      <c r="E4" s="290" t="n">
        <f aca="false">'Customer Volumes'!F4</f>
        <v>5126.625</v>
      </c>
      <c r="F4" s="290" t="n">
        <f aca="false">'Customer Volumes'!G4</f>
        <v>5382.95625</v>
      </c>
      <c r="G4" s="290" t="n">
        <f aca="false">'Customer Volumes'!H4</f>
        <v>5652.1040625</v>
      </c>
      <c r="H4" s="217"/>
    </row>
    <row r="5" customFormat="false" ht="15" hidden="false" customHeight="false" outlineLevel="0" collapsed="false">
      <c r="A5" s="285"/>
      <c r="B5" s="291" t="s">
        <v>414</v>
      </c>
      <c r="C5" s="292"/>
      <c r="D5" s="292"/>
      <c r="E5" s="293"/>
      <c r="F5" s="293"/>
      <c r="G5" s="293"/>
      <c r="H5" s="217"/>
    </row>
    <row r="6" customFormat="false" ht="15" hidden="false" customHeight="false" outlineLevel="0" collapsed="false">
      <c r="A6" s="285"/>
      <c r="B6" s="289" t="s">
        <v>415</v>
      </c>
      <c r="C6" s="294" t="n">
        <f aca="false">'Services Calculation'!D28</f>
        <v>96</v>
      </c>
      <c r="D6" s="294" t="n">
        <f aca="false">'Services Calculation'!E28</f>
        <v>100</v>
      </c>
      <c r="E6" s="294" t="n">
        <f aca="false">'Services Calculation'!F28</f>
        <v>104</v>
      </c>
      <c r="F6" s="294" t="n">
        <f aca="false">'Services Calculation'!G28</f>
        <v>108</v>
      </c>
      <c r="G6" s="294" t="n">
        <f aca="false">'Services Calculation'!H28</f>
        <v>113</v>
      </c>
      <c r="H6" s="217"/>
    </row>
    <row r="7" customFormat="false" ht="15" hidden="false" customHeight="false" outlineLevel="0" collapsed="false">
      <c r="A7" s="285"/>
      <c r="B7" s="289" t="s">
        <v>416</v>
      </c>
      <c r="C7" s="294" t="n">
        <f aca="false">'Services Calculation'!D29</f>
        <v>172</v>
      </c>
      <c r="D7" s="294" t="n">
        <f aca="false">'Services Calculation'!E29</f>
        <v>179</v>
      </c>
      <c r="E7" s="294" t="n">
        <f aca="false">'Services Calculation'!F29</f>
        <v>187</v>
      </c>
      <c r="F7" s="294" t="n">
        <f aca="false">'Services Calculation'!G29</f>
        <v>194.629386685225</v>
      </c>
      <c r="G7" s="294" t="n">
        <f aca="false">'Services Calculation'!H29</f>
        <v>204</v>
      </c>
      <c r="H7" s="217"/>
    </row>
    <row r="8" customFormat="false" ht="15" hidden="false" customHeight="false" outlineLevel="0" collapsed="false">
      <c r="A8" s="285"/>
      <c r="B8" s="289" t="s">
        <v>417</v>
      </c>
      <c r="C8" s="295" t="n">
        <f aca="false">C6/16</f>
        <v>6</v>
      </c>
      <c r="D8" s="295" t="n">
        <f aca="false">D6/16</f>
        <v>6.25</v>
      </c>
      <c r="E8" s="295" t="n">
        <f aca="false">E6/16</f>
        <v>6.5</v>
      </c>
      <c r="F8" s="295" t="n">
        <f aca="false">F6/16</f>
        <v>6.75</v>
      </c>
      <c r="G8" s="295" t="n">
        <f aca="false">G6/16</f>
        <v>7.0625</v>
      </c>
      <c r="H8" s="217"/>
    </row>
    <row r="9" customFormat="false" ht="15" hidden="false" customHeight="false" outlineLevel="0" collapsed="false">
      <c r="A9" s="285"/>
      <c r="B9" s="289" t="s">
        <v>418</v>
      </c>
      <c r="C9" s="295" t="n">
        <f aca="false">C7/32</f>
        <v>5.375</v>
      </c>
      <c r="D9" s="295" t="n">
        <f aca="false">D7/32</f>
        <v>5.59375</v>
      </c>
      <c r="E9" s="295" t="n">
        <f aca="false">E7/32</f>
        <v>5.84375</v>
      </c>
      <c r="F9" s="295" t="n">
        <f aca="false">F7/32</f>
        <v>6.08216833391328</v>
      </c>
      <c r="G9" s="295" t="n">
        <f aca="false">G7/32</f>
        <v>6.375</v>
      </c>
      <c r="H9" s="217"/>
    </row>
    <row r="10" customFormat="false" ht="15" hidden="false" customHeight="false" outlineLevel="0" collapsed="false">
      <c r="A10" s="285"/>
      <c r="B10" s="291" t="s">
        <v>419</v>
      </c>
      <c r="C10" s="292"/>
      <c r="D10" s="292"/>
      <c r="E10" s="293"/>
      <c r="F10" s="293"/>
      <c r="G10" s="293"/>
      <c r="H10" s="217"/>
    </row>
    <row r="11" customFormat="false" ht="15" hidden="false" customHeight="false" outlineLevel="0" collapsed="false">
      <c r="A11" s="285"/>
      <c r="B11" s="289" t="s">
        <v>420</v>
      </c>
      <c r="C11" s="296" t="n">
        <v>200</v>
      </c>
      <c r="D11" s="296" t="n">
        <f aca="false">C11</f>
        <v>200</v>
      </c>
      <c r="E11" s="296" t="n">
        <f aca="false">D11</f>
        <v>200</v>
      </c>
      <c r="F11" s="296" t="n">
        <f aca="false">E11</f>
        <v>200</v>
      </c>
      <c r="G11" s="296" t="n">
        <f aca="false">F11</f>
        <v>200</v>
      </c>
      <c r="H11" s="217"/>
    </row>
    <row r="12" customFormat="false" ht="15" hidden="false" customHeight="false" outlineLevel="0" collapsed="false">
      <c r="A12" s="285"/>
      <c r="B12" s="289" t="s">
        <v>421</v>
      </c>
      <c r="C12" s="294" t="n">
        <f aca="false">ROUNDUP(C4/C11, 0)</f>
        <v>24</v>
      </c>
      <c r="D12" s="294" t="n">
        <f aca="false">ROUNDUP(D4/D11, 0)</f>
        <v>25</v>
      </c>
      <c r="E12" s="294" t="n">
        <f aca="false">ROUNDUP(E4/E11, 0)</f>
        <v>26</v>
      </c>
      <c r="F12" s="294" t="n">
        <f aca="false">ROUNDUP(F4/F11, 0)</f>
        <v>27</v>
      </c>
      <c r="G12" s="294" t="n">
        <f aca="false">ROUNDUP(G4/G11, 0)</f>
        <v>29</v>
      </c>
      <c r="H12" s="217"/>
    </row>
    <row r="13" customFormat="false" ht="41.75" hidden="false" customHeight="false" outlineLevel="0" collapsed="false">
      <c r="A13" s="285"/>
      <c r="B13" s="289" t="s">
        <v>422</v>
      </c>
      <c r="C13" s="297" t="n">
        <v>2</v>
      </c>
      <c r="D13" s="297" t="n">
        <f aca="false">C13</f>
        <v>2</v>
      </c>
      <c r="E13" s="297" t="n">
        <f aca="false">D13</f>
        <v>2</v>
      </c>
      <c r="F13" s="297" t="n">
        <f aca="false">E13</f>
        <v>2</v>
      </c>
      <c r="G13" s="297" t="n">
        <f aca="false">F13</f>
        <v>2</v>
      </c>
      <c r="H13" s="231" t="s">
        <v>423</v>
      </c>
    </row>
    <row r="14" customFormat="false" ht="41.75" hidden="false" customHeight="false" outlineLevel="0" collapsed="false">
      <c r="A14" s="285"/>
      <c r="B14" s="289" t="s">
        <v>424</v>
      </c>
      <c r="C14" s="297" t="n">
        <v>2</v>
      </c>
      <c r="D14" s="297" t="n">
        <f aca="false">C14</f>
        <v>2</v>
      </c>
      <c r="E14" s="297" t="n">
        <f aca="false">D14</f>
        <v>2</v>
      </c>
      <c r="F14" s="297" t="n">
        <f aca="false">E14</f>
        <v>2</v>
      </c>
      <c r="G14" s="297" t="n">
        <f aca="false">F14</f>
        <v>2</v>
      </c>
      <c r="H14" s="231" t="s">
        <v>425</v>
      </c>
    </row>
    <row r="15" customFormat="false" ht="15" hidden="false" customHeight="false" outlineLevel="0" collapsed="false">
      <c r="A15" s="285"/>
      <c r="B15" s="289" t="s">
        <v>426</v>
      </c>
      <c r="C15" s="294" t="n">
        <f aca="false">ROUND(C12+C13+C14,0)</f>
        <v>28</v>
      </c>
      <c r="D15" s="294" t="n">
        <f aca="false">ROUND(D12+D13+D14,0)</f>
        <v>29</v>
      </c>
      <c r="E15" s="294" t="n">
        <f aca="false">ROUND(E12+E13+E14,0)</f>
        <v>30</v>
      </c>
      <c r="F15" s="294" t="n">
        <f aca="false">ROUND(F12+F13+F14,0)</f>
        <v>31</v>
      </c>
      <c r="G15" s="294" t="n">
        <f aca="false">ROUND(G12+G13+G14,0)</f>
        <v>33</v>
      </c>
      <c r="H15" s="217"/>
    </row>
    <row r="16" customFormat="false" ht="15" hidden="false" customHeight="false" outlineLevel="0" collapsed="false">
      <c r="B16" s="298"/>
      <c r="C16" s="299"/>
      <c r="D16" s="299"/>
      <c r="E16" s="299"/>
      <c r="F16" s="299"/>
      <c r="G16" s="300"/>
      <c r="H16" s="217"/>
    </row>
    <row r="17" customFormat="false" ht="15" hidden="false" customHeight="false" outlineLevel="0" collapsed="false">
      <c r="B17" s="301" t="s">
        <v>414</v>
      </c>
      <c r="C17" s="302"/>
      <c r="D17" s="302"/>
      <c r="E17" s="303"/>
      <c r="F17" s="303"/>
      <c r="G17" s="304"/>
      <c r="H17" s="217"/>
    </row>
    <row r="18" s="305" customFormat="true" ht="15" hidden="false" customHeight="false" outlineLevel="0" collapsed="false">
      <c r="B18" s="220" t="s">
        <v>427</v>
      </c>
      <c r="C18" s="306" t="n">
        <f aca="false">ROUND(ROUND(MAX(C8,C9),0)*1.42,0)</f>
        <v>9</v>
      </c>
      <c r="D18" s="306" t="n">
        <f aca="false">ROUND(ROUND(MAX(D8,D9),0)*1.42,0)</f>
        <v>9</v>
      </c>
      <c r="E18" s="306" t="n">
        <f aca="false">ROUND(ROUND(MAX(E8,E9),0)*1.42,0)</f>
        <v>10</v>
      </c>
      <c r="F18" s="306" t="n">
        <f aca="false">ROUND(ROUND(MAX(F8,F9),0)*1.42,0)</f>
        <v>10</v>
      </c>
      <c r="G18" s="306" t="n">
        <f aca="false">ROUND(ROUND(MAX(G8,G9),0)*1.42,0)</f>
        <v>10</v>
      </c>
      <c r="H18" s="307" t="s">
        <v>428</v>
      </c>
    </row>
    <row r="19" customFormat="false" ht="15" hidden="false" customHeight="false" outlineLevel="0" collapsed="false">
      <c r="B19" s="308"/>
      <c r="C19" s="309"/>
      <c r="D19" s="309"/>
      <c r="E19" s="309"/>
      <c r="F19" s="309"/>
      <c r="G19" s="310"/>
      <c r="H19" s="217"/>
    </row>
    <row r="20" customFormat="false" ht="15" hidden="false" customHeight="false" outlineLevel="0" collapsed="false">
      <c r="B20" s="311" t="s">
        <v>419</v>
      </c>
      <c r="C20" s="312"/>
      <c r="D20" s="312"/>
      <c r="E20" s="313"/>
      <c r="F20" s="313"/>
      <c r="G20" s="314"/>
      <c r="H20" s="217"/>
    </row>
    <row r="21" customFormat="false" ht="15" hidden="false" customHeight="false" outlineLevel="0" collapsed="false">
      <c r="B21" s="315" t="s">
        <v>429</v>
      </c>
      <c r="C21" s="316" t="n">
        <f aca="false">C15</f>
        <v>28</v>
      </c>
      <c r="D21" s="316" t="n">
        <f aca="false">D15</f>
        <v>29</v>
      </c>
      <c r="E21" s="316" t="n">
        <f aca="false">E15</f>
        <v>30</v>
      </c>
      <c r="F21" s="316" t="n">
        <f aca="false">F15</f>
        <v>31</v>
      </c>
      <c r="G21" s="316" t="n">
        <f aca="false">G15</f>
        <v>33</v>
      </c>
      <c r="H21" s="217"/>
    </row>
    <row r="22" customFormat="false" ht="15" hidden="false" customHeight="false" outlineLevel="0" collapsed="false">
      <c r="B22" s="315" t="s">
        <v>415</v>
      </c>
      <c r="C22" s="316" t="n">
        <f aca="false">C21*2</f>
        <v>56</v>
      </c>
      <c r="D22" s="316" t="n">
        <f aca="false">D21*2</f>
        <v>58</v>
      </c>
      <c r="E22" s="316" t="n">
        <f aca="false">E21*2</f>
        <v>60</v>
      </c>
      <c r="F22" s="316" t="n">
        <f aca="false">F21*2</f>
        <v>62</v>
      </c>
      <c r="G22" s="316" t="n">
        <f aca="false">G21*2</f>
        <v>66</v>
      </c>
      <c r="H22" s="217" t="s">
        <v>430</v>
      </c>
    </row>
    <row r="23" customFormat="false" ht="15" hidden="false" customHeight="false" outlineLevel="0" collapsed="false">
      <c r="B23" s="217" t="s">
        <v>431</v>
      </c>
      <c r="C23" s="316" t="n">
        <f aca="false">C22*8</f>
        <v>448</v>
      </c>
      <c r="D23" s="316" t="n">
        <f aca="false">D22*8</f>
        <v>464</v>
      </c>
      <c r="E23" s="316" t="n">
        <f aca="false">E22*8</f>
        <v>480</v>
      </c>
      <c r="F23" s="316" t="n">
        <f aca="false">F22*8</f>
        <v>496</v>
      </c>
      <c r="G23" s="316" t="n">
        <f aca="false">G22*8</f>
        <v>528</v>
      </c>
      <c r="H23" s="217" t="s">
        <v>432</v>
      </c>
    </row>
    <row r="24" customFormat="false" ht="15" hidden="false" customHeight="false" outlineLevel="0" collapsed="false">
      <c r="B24" s="217" t="s">
        <v>433</v>
      </c>
      <c r="C24" s="316" t="n">
        <f aca="false">C22*8</f>
        <v>448</v>
      </c>
      <c r="D24" s="316" t="n">
        <f aca="false">D22*8</f>
        <v>464</v>
      </c>
      <c r="E24" s="316" t="n">
        <f aca="false">E22*8</f>
        <v>480</v>
      </c>
      <c r="F24" s="316" t="n">
        <f aca="false">F22*8</f>
        <v>496</v>
      </c>
      <c r="G24" s="316" t="n">
        <f aca="false">G22*8</f>
        <v>528</v>
      </c>
      <c r="H24" s="217" t="s">
        <v>432</v>
      </c>
    </row>
    <row r="25" customFormat="false" ht="15" hidden="false" customHeight="false" outlineLevel="0" collapsed="false">
      <c r="B25" s="217" t="s">
        <v>434</v>
      </c>
      <c r="C25" s="316" t="n">
        <f aca="false">C22*4</f>
        <v>224</v>
      </c>
      <c r="D25" s="316" t="n">
        <f aca="false">D22*4</f>
        <v>232</v>
      </c>
      <c r="E25" s="316" t="n">
        <f aca="false">E22*4</f>
        <v>240</v>
      </c>
      <c r="F25" s="316" t="n">
        <f aca="false">F22*4</f>
        <v>248</v>
      </c>
      <c r="G25" s="316" t="n">
        <f aca="false">G22*4</f>
        <v>264</v>
      </c>
      <c r="H25" s="217" t="s">
        <v>435</v>
      </c>
    </row>
    <row r="26" customFormat="false" ht="15" hidden="false" customHeight="false" outlineLevel="0" collapsed="false">
      <c r="B26" s="298"/>
      <c r="C26" s="299"/>
      <c r="D26" s="299"/>
      <c r="E26" s="299"/>
      <c r="F26" s="299"/>
      <c r="G26" s="300"/>
      <c r="H26" s="217"/>
    </row>
    <row r="27" customFormat="false" ht="15" hidden="false" customHeight="false" outlineLevel="0" collapsed="false">
      <c r="B27" s="311" t="s">
        <v>436</v>
      </c>
      <c r="C27" s="317" t="str">
        <f aca="false">'Customer Volumes'!J39</f>
        <v>Yes</v>
      </c>
      <c r="D27" s="317"/>
      <c r="E27" s="317"/>
      <c r="F27" s="317"/>
      <c r="G27" s="317"/>
      <c r="H27" s="217"/>
    </row>
    <row r="28" customFormat="false" ht="15" hidden="false" customHeight="true" outlineLevel="0" collapsed="false">
      <c r="B28" s="315" t="s">
        <v>429</v>
      </c>
      <c r="C28" s="316" t="n">
        <f aca="false">IF(C27="No", 0, C21)</f>
        <v>28</v>
      </c>
      <c r="D28" s="316" t="n">
        <f aca="false">IF(C27="No", 0, D21)</f>
        <v>29</v>
      </c>
      <c r="E28" s="316" t="n">
        <f aca="false">IF(C27="No", 0, E21)</f>
        <v>30</v>
      </c>
      <c r="F28" s="316" t="n">
        <f aca="false">IF(C27="No", 0, F21)</f>
        <v>31</v>
      </c>
      <c r="G28" s="316" t="n">
        <f aca="false">IF(C27="No", 0, G21)</f>
        <v>33</v>
      </c>
      <c r="H28" s="269" t="s">
        <v>437</v>
      </c>
    </row>
    <row r="29" customFormat="false" ht="15" hidden="false" customHeight="false" outlineLevel="0" collapsed="false">
      <c r="B29" s="315" t="s">
        <v>415</v>
      </c>
      <c r="C29" s="316" t="n">
        <f aca="false">IF(C27="No", 0, C22)</f>
        <v>56</v>
      </c>
      <c r="D29" s="316" t="n">
        <f aca="false">IF(C27="No", 0, D22)</f>
        <v>58</v>
      </c>
      <c r="E29" s="316" t="n">
        <f aca="false">IF(C27="No", 0, E22)</f>
        <v>60</v>
      </c>
      <c r="F29" s="316" t="n">
        <f aca="false">IF(C27="No", 0, F22)</f>
        <v>62</v>
      </c>
      <c r="G29" s="316" t="n">
        <f aca="false">IF(C27="No", 0, G22)</f>
        <v>66</v>
      </c>
      <c r="H29" s="269"/>
    </row>
    <row r="30" customFormat="false" ht="15" hidden="false" customHeight="false" outlineLevel="0" collapsed="false">
      <c r="B30" s="217" t="s">
        <v>438</v>
      </c>
      <c r="C30" s="316" t="n">
        <f aca="false">C29*8</f>
        <v>448</v>
      </c>
      <c r="D30" s="316" t="n">
        <f aca="false">D29*8</f>
        <v>464</v>
      </c>
      <c r="E30" s="316" t="n">
        <f aca="false">E29*8</f>
        <v>480</v>
      </c>
      <c r="F30" s="316" t="n">
        <f aca="false">F29*8</f>
        <v>496</v>
      </c>
      <c r="G30" s="316" t="n">
        <f aca="false">G29*8</f>
        <v>528</v>
      </c>
      <c r="H30" s="269"/>
    </row>
    <row r="31" customFormat="false" ht="15" hidden="false" customHeight="false" outlineLevel="0" collapsed="false">
      <c r="B31" s="217" t="s">
        <v>439</v>
      </c>
      <c r="C31" s="316" t="n">
        <f aca="false">C29*8</f>
        <v>448</v>
      </c>
      <c r="D31" s="316" t="n">
        <f aca="false">D29*8</f>
        <v>464</v>
      </c>
      <c r="E31" s="316" t="n">
        <f aca="false">E29*8</f>
        <v>480</v>
      </c>
      <c r="F31" s="316" t="n">
        <f aca="false">F29*8</f>
        <v>496</v>
      </c>
      <c r="G31" s="316" t="n">
        <f aca="false">G29*8</f>
        <v>528</v>
      </c>
      <c r="H31" s="269"/>
    </row>
    <row r="32" customFormat="false" ht="15" hidden="false" customHeight="false" outlineLevel="0" collapsed="false">
      <c r="B32" s="217" t="s">
        <v>440</v>
      </c>
      <c r="C32" s="316" t="n">
        <f aca="false">C29*4</f>
        <v>224</v>
      </c>
      <c r="D32" s="316" t="n">
        <f aca="false">D29*4</f>
        <v>232</v>
      </c>
      <c r="E32" s="316" t="n">
        <f aca="false">E29*4</f>
        <v>240</v>
      </c>
      <c r="F32" s="316" t="n">
        <f aca="false">F29*4</f>
        <v>248</v>
      </c>
      <c r="G32" s="316" t="n">
        <f aca="false">G29*4</f>
        <v>264</v>
      </c>
      <c r="H32" s="269"/>
    </row>
    <row r="33" customFormat="false" ht="15" hidden="false" customHeight="false" outlineLevel="0" collapsed="false">
      <c r="H33" s="217"/>
    </row>
    <row r="34" customFormat="false" ht="15" hidden="false" customHeight="false" outlineLevel="0" collapsed="false">
      <c r="B34" s="311" t="s">
        <v>202</v>
      </c>
      <c r="C34" s="312"/>
      <c r="D34" s="312"/>
      <c r="E34" s="313"/>
      <c r="F34" s="313"/>
      <c r="G34" s="314"/>
      <c r="H34" s="217"/>
    </row>
    <row r="35" customFormat="false" ht="15" hidden="false" customHeight="false" outlineLevel="0" collapsed="false">
      <c r="B35" s="315" t="s">
        <v>441</v>
      </c>
      <c r="C35" s="316" t="n">
        <f aca="false">CEILING('Data size'!D30,100)</f>
        <v>2100</v>
      </c>
      <c r="D35" s="316" t="n">
        <f aca="false">CEILING('Data size'!H30,100)</f>
        <v>2300</v>
      </c>
      <c r="E35" s="316" t="n">
        <f aca="false">CEILING('Data size'!L30,100)</f>
        <v>2500</v>
      </c>
      <c r="F35" s="316" t="n">
        <f aca="false">CEILING('Data size'!P30,100)</f>
        <v>2800</v>
      </c>
      <c r="G35" s="316" t="n">
        <f aca="false">CEILING('Data size'!T30,100)</f>
        <v>3000</v>
      </c>
      <c r="H35" s="217" t="s">
        <v>442</v>
      </c>
    </row>
    <row r="36" customFormat="false" ht="15" hidden="false" customHeight="false" outlineLevel="0" collapsed="false">
      <c r="B36" s="217" t="s">
        <v>443</v>
      </c>
      <c r="C36" s="316" t="n">
        <f aca="false">CEILING('DMS size'!D21,100)</f>
        <v>5900</v>
      </c>
      <c r="D36" s="316" t="n">
        <f aca="false">CEILING('DMS size'!H21,100)</f>
        <v>6500</v>
      </c>
      <c r="E36" s="316" t="n">
        <f aca="false">CEILING('DMS size'!L21,100)</f>
        <v>7200</v>
      </c>
      <c r="F36" s="316" t="n">
        <f aca="false">CEILING('DMS size'!P21,100)</f>
        <v>7900</v>
      </c>
      <c r="G36" s="316" t="n">
        <f aca="false">CEILING('DMS size'!T21,100)</f>
        <v>8700</v>
      </c>
      <c r="H36" s="217" t="s">
        <v>442</v>
      </c>
    </row>
  </sheetData>
  <sheetProtection algorithmName="SHA-512" hashValue="JiH6UHP1jxJu9Wkcfw+41F/6Xl2obHKo2zGAjhCdV+ZCzTsL2VjOs5694Z4Qc0ad1n6TDeYLzAAK3XvKr6u7RQ==" saltValue="cUsYprexWJU1pqERO+ywGQ==" spinCount="100000" sheet="true" objects="true" scenarios="true"/>
  <protectedRanges>
    <protectedRange name="Range1" sqref="C13:G14"/>
  </protectedRanges>
  <mergeCells count="2">
    <mergeCell ref="C27:G27"/>
    <mergeCell ref="H28:H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1"/>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B3" activeCellId="0" sqref="B3"/>
    </sheetView>
  </sheetViews>
  <sheetFormatPr defaultColWidth="9.00390625" defaultRowHeight="15" zeroHeight="false" outlineLevelRow="0" outlineLevelCol="0"/>
  <cols>
    <col collapsed="false" customWidth="false" hidden="false" outlineLevel="0" max="1" min="1" style="318" width="9"/>
    <col collapsed="false" customWidth="true" hidden="false" outlineLevel="0" max="2" min="2" style="318" width="30.57"/>
    <col collapsed="false" customWidth="true" hidden="false" outlineLevel="0" max="8" min="3" style="318" width="9.42"/>
    <col collapsed="false" customWidth="false" hidden="false" outlineLevel="0" max="9" min="9" style="318" width="9"/>
    <col collapsed="false" customWidth="true" hidden="false" outlineLevel="0" max="10" min="10" style="318" width="26.86"/>
    <col collapsed="false" customWidth="false" hidden="false" outlineLevel="0" max="16384" min="11" style="318" width="9"/>
  </cols>
  <sheetData>
    <row r="2" s="38" customFormat="true" ht="15" hidden="false" customHeight="false" outlineLevel="0" collapsed="false">
      <c r="B2" s="45" t="s">
        <v>154</v>
      </c>
      <c r="C2" s="45" t="s">
        <v>70</v>
      </c>
      <c r="D2" s="45" t="s">
        <v>71</v>
      </c>
      <c r="E2" s="45" t="s">
        <v>72</v>
      </c>
      <c r="F2" s="45" t="s">
        <v>73</v>
      </c>
      <c r="G2" s="45" t="s">
        <v>74</v>
      </c>
    </row>
    <row r="3" s="38" customFormat="true" ht="15" hidden="false" customHeight="false" outlineLevel="0" collapsed="false">
      <c r="B3" s="319" t="s">
        <v>78</v>
      </c>
      <c r="C3" s="320" t="n">
        <f aca="false">'Customer Volumes'!D3</f>
        <v>15500</v>
      </c>
      <c r="D3" s="320" t="n">
        <f aca="false">'Customer Volumes'!E3</f>
        <v>16275</v>
      </c>
      <c r="E3" s="320" t="n">
        <f aca="false">'Customer Volumes'!F3</f>
        <v>17088.75</v>
      </c>
      <c r="F3" s="320" t="n">
        <f aca="false">'Customer Volumes'!G3</f>
        <v>17943.1875</v>
      </c>
      <c r="G3" s="320" t="n">
        <f aca="false">'Customer Volumes'!H3</f>
        <v>18840.346875</v>
      </c>
    </row>
    <row r="4" s="38" customFormat="true" ht="15" hidden="false" customHeight="false" outlineLevel="0" collapsed="false">
      <c r="B4" s="319" t="s">
        <v>80</v>
      </c>
      <c r="C4" s="320" t="n">
        <f aca="false">'Customer Volumes'!D4</f>
        <v>4650</v>
      </c>
      <c r="D4" s="320" t="n">
        <f aca="false">'Customer Volumes'!E4</f>
        <v>4882.5</v>
      </c>
      <c r="E4" s="320" t="n">
        <f aca="false">'Customer Volumes'!F4</f>
        <v>5126.625</v>
      </c>
      <c r="F4" s="320" t="n">
        <f aca="false">'Customer Volumes'!G4</f>
        <v>5382.95625</v>
      </c>
      <c r="G4" s="320" t="n">
        <f aca="false">'Customer Volumes'!H4</f>
        <v>5652.1040625</v>
      </c>
    </row>
    <row r="6" customFormat="false" ht="15" hidden="false" customHeight="true" outlineLevel="0" collapsed="false">
      <c r="B6" s="45" t="s">
        <v>444</v>
      </c>
      <c r="C6" s="45"/>
      <c r="D6" s="45"/>
      <c r="E6" s="45"/>
      <c r="F6" s="45"/>
      <c r="G6" s="45"/>
      <c r="H6" s="45"/>
    </row>
    <row r="7" customFormat="false" ht="15" hidden="false" customHeight="true" outlineLevel="0" collapsed="false">
      <c r="B7" s="321" t="s">
        <v>445</v>
      </c>
      <c r="C7" s="321"/>
      <c r="D7" s="321"/>
      <c r="E7" s="321"/>
      <c r="F7" s="321"/>
      <c r="G7" s="321"/>
      <c r="H7" s="321"/>
    </row>
    <row r="8" customFormat="false" ht="15" hidden="false" customHeight="false" outlineLevel="0" collapsed="false">
      <c r="B8" s="322" t="s">
        <v>270</v>
      </c>
      <c r="C8" s="322" t="n">
        <v>50</v>
      </c>
      <c r="D8" s="322" t="n">
        <v>50</v>
      </c>
      <c r="E8" s="322" t="n">
        <v>50</v>
      </c>
      <c r="F8" s="322" t="n">
        <v>50</v>
      </c>
      <c r="G8" s="322" t="n">
        <v>50</v>
      </c>
      <c r="H8" s="323" t="s">
        <v>215</v>
      </c>
    </row>
    <row r="9" customFormat="false" ht="15" hidden="false" customHeight="false" outlineLevel="0" collapsed="false">
      <c r="B9" s="322" t="s">
        <v>446</v>
      </c>
      <c r="C9" s="322" t="n">
        <v>1</v>
      </c>
      <c r="D9" s="322" t="n">
        <v>1</v>
      </c>
      <c r="E9" s="322" t="n">
        <v>1</v>
      </c>
      <c r="F9" s="322" t="n">
        <v>1</v>
      </c>
      <c r="G9" s="322" t="n">
        <v>1</v>
      </c>
      <c r="H9" s="323" t="s">
        <v>447</v>
      </c>
    </row>
    <row r="10" customFormat="false" ht="15" hidden="false" customHeight="false" outlineLevel="0" collapsed="false">
      <c r="B10" s="322" t="s">
        <v>448</v>
      </c>
      <c r="C10" s="322" t="n">
        <v>10</v>
      </c>
      <c r="D10" s="322" t="n">
        <v>10</v>
      </c>
      <c r="E10" s="322" t="n">
        <v>10</v>
      </c>
      <c r="F10" s="322" t="n">
        <v>10</v>
      </c>
      <c r="G10" s="322" t="n">
        <v>10</v>
      </c>
      <c r="H10" s="323" t="s">
        <v>447</v>
      </c>
    </row>
    <row r="11" customFormat="false" ht="15" hidden="false" customHeight="false" outlineLevel="0" collapsed="false">
      <c r="B11" s="322" t="s">
        <v>449</v>
      </c>
      <c r="C11" s="322" t="n">
        <f aca="false">C9+C10</f>
        <v>11</v>
      </c>
      <c r="D11" s="322" t="n">
        <f aca="false">D9+D10</f>
        <v>11</v>
      </c>
      <c r="E11" s="322" t="n">
        <f aca="false">E9+E10</f>
        <v>11</v>
      </c>
      <c r="F11" s="322" t="n">
        <f aca="false">F9+F10</f>
        <v>11</v>
      </c>
      <c r="G11" s="322" t="n">
        <f aca="false">G9+G10</f>
        <v>11</v>
      </c>
      <c r="H11" s="323" t="s">
        <v>447</v>
      </c>
    </row>
    <row r="12" customFormat="false" ht="15" hidden="false" customHeight="false" outlineLevel="0" collapsed="false">
      <c r="B12" s="322" t="s">
        <v>450</v>
      </c>
      <c r="C12" s="322" t="n">
        <v>5000</v>
      </c>
      <c r="D12" s="322" t="n">
        <v>5000</v>
      </c>
      <c r="E12" s="322" t="n">
        <v>5000</v>
      </c>
      <c r="F12" s="322" t="n">
        <v>5000</v>
      </c>
      <c r="G12" s="322" t="n">
        <v>5000</v>
      </c>
      <c r="H12" s="323" t="s">
        <v>215</v>
      </c>
    </row>
    <row r="13" customFormat="false" ht="15" hidden="false" customHeight="false" outlineLevel="0" collapsed="false">
      <c r="B13" s="322" t="s">
        <v>451</v>
      </c>
      <c r="C13" s="324" t="n">
        <v>0.999</v>
      </c>
      <c r="D13" s="324" t="n">
        <v>0.999</v>
      </c>
      <c r="E13" s="324" t="n">
        <v>0.999</v>
      </c>
      <c r="F13" s="324" t="n">
        <v>0.999</v>
      </c>
      <c r="G13" s="324" t="n">
        <v>0.999</v>
      </c>
      <c r="H13" s="323"/>
    </row>
    <row r="14" customFormat="false" ht="15" hidden="false" customHeight="false" outlineLevel="0" collapsed="false">
      <c r="B14" s="322" t="s">
        <v>452</v>
      </c>
      <c r="C14" s="325" t="n">
        <f aca="false">C3*(1-C13)*C12</f>
        <v>77500.0000000001</v>
      </c>
      <c r="D14" s="325" t="n">
        <f aca="false">D3*(1-D13)*D12</f>
        <v>81375.0000000001</v>
      </c>
      <c r="E14" s="325" t="n">
        <f aca="false">E3*(1-E13)*E12</f>
        <v>85443.7500000001</v>
      </c>
      <c r="F14" s="325" t="n">
        <f aca="false">F3*(1-F13)*F12</f>
        <v>89715.9375000001</v>
      </c>
      <c r="G14" s="325" t="n">
        <f aca="false">G3*(1-G13)*G12</f>
        <v>94201.7343750001</v>
      </c>
      <c r="H14" s="323" t="s">
        <v>215</v>
      </c>
    </row>
    <row r="15" customFormat="false" ht="15" hidden="false" customHeight="false" outlineLevel="0" collapsed="false">
      <c r="B15" s="322" t="s">
        <v>453</v>
      </c>
      <c r="C15" s="322" t="n">
        <f aca="false">C4*C8+C14</f>
        <v>310000</v>
      </c>
      <c r="D15" s="322" t="n">
        <f aca="false">D4*D8+D14</f>
        <v>325500</v>
      </c>
      <c r="E15" s="322" t="n">
        <f aca="false">E4*E8+E14</f>
        <v>341775</v>
      </c>
      <c r="F15" s="322" t="n">
        <f aca="false">F4*F8+F14</f>
        <v>358863.75</v>
      </c>
      <c r="G15" s="322" t="n">
        <f aca="false">G4*G8+G14</f>
        <v>376806.9375</v>
      </c>
      <c r="H15" s="323" t="s">
        <v>215</v>
      </c>
    </row>
    <row r="16" customFormat="false" ht="15" hidden="false" customHeight="false" outlineLevel="0" collapsed="false">
      <c r="B16" s="322" t="s">
        <v>454</v>
      </c>
      <c r="C16" s="326" t="n">
        <f aca="false">C15*8/C11</f>
        <v>225454.545454546</v>
      </c>
      <c r="D16" s="326" t="n">
        <f aca="false">D15*8/D11</f>
        <v>236727.272727273</v>
      </c>
      <c r="E16" s="326" t="n">
        <f aca="false">E15*8/E11</f>
        <v>248563.636363636</v>
      </c>
      <c r="F16" s="326" t="n">
        <f aca="false">F15*8/F11</f>
        <v>260991.818181818</v>
      </c>
      <c r="G16" s="326" t="n">
        <f aca="false">G15*8/G11</f>
        <v>274041.409090909</v>
      </c>
      <c r="H16" s="323" t="s">
        <v>455</v>
      </c>
    </row>
    <row r="17" customFormat="false" ht="15" hidden="false" customHeight="true" outlineLevel="0" collapsed="false">
      <c r="B17" s="321" t="s">
        <v>456</v>
      </c>
      <c r="C17" s="321"/>
      <c r="D17" s="321"/>
      <c r="E17" s="321"/>
      <c r="F17" s="321"/>
      <c r="G17" s="321"/>
      <c r="H17" s="321"/>
    </row>
    <row r="18" customFormat="false" ht="15" hidden="false" customHeight="false" outlineLevel="0" collapsed="false">
      <c r="B18" s="322" t="s">
        <v>270</v>
      </c>
      <c r="C18" s="322" t="n">
        <v>2000</v>
      </c>
      <c r="D18" s="322" t="n">
        <v>2000</v>
      </c>
      <c r="E18" s="322" t="n">
        <v>2000</v>
      </c>
      <c r="F18" s="322" t="n">
        <v>2000</v>
      </c>
      <c r="G18" s="322" t="n">
        <v>2000</v>
      </c>
      <c r="H18" s="323" t="s">
        <v>215</v>
      </c>
    </row>
    <row r="19" customFormat="false" ht="15" hidden="false" customHeight="false" outlineLevel="0" collapsed="false">
      <c r="B19" s="322" t="s">
        <v>446</v>
      </c>
      <c r="C19" s="322" t="n">
        <v>4</v>
      </c>
      <c r="D19" s="322" t="n">
        <v>4</v>
      </c>
      <c r="E19" s="322" t="n">
        <v>4</v>
      </c>
      <c r="F19" s="322" t="n">
        <v>4</v>
      </c>
      <c r="G19" s="322" t="n">
        <v>4</v>
      </c>
      <c r="H19" s="323" t="s">
        <v>447</v>
      </c>
    </row>
    <row r="20" customFormat="false" ht="15" hidden="false" customHeight="false" outlineLevel="0" collapsed="false">
      <c r="B20" s="322" t="s">
        <v>448</v>
      </c>
      <c r="C20" s="322" t="n">
        <v>15</v>
      </c>
      <c r="D20" s="322" t="n">
        <v>15</v>
      </c>
      <c r="E20" s="322" t="n">
        <v>15</v>
      </c>
      <c r="F20" s="322" t="n">
        <v>15</v>
      </c>
      <c r="G20" s="322" t="n">
        <v>15</v>
      </c>
      <c r="H20" s="323" t="s">
        <v>447</v>
      </c>
    </row>
    <row r="21" customFormat="false" ht="15" hidden="false" customHeight="false" outlineLevel="0" collapsed="false">
      <c r="B21" s="322" t="s">
        <v>449</v>
      </c>
      <c r="C21" s="326" t="n">
        <f aca="false">C19+C20</f>
        <v>19</v>
      </c>
      <c r="D21" s="326" t="n">
        <f aca="false">D19+D20</f>
        <v>19</v>
      </c>
      <c r="E21" s="326" t="n">
        <f aca="false">E19+E20</f>
        <v>19</v>
      </c>
      <c r="F21" s="326" t="n">
        <f aca="false">F19+F20</f>
        <v>19</v>
      </c>
      <c r="G21" s="326" t="n">
        <f aca="false">G19+G20</f>
        <v>19</v>
      </c>
      <c r="H21" s="323" t="s">
        <v>447</v>
      </c>
    </row>
    <row r="22" customFormat="false" ht="15" hidden="false" customHeight="false" outlineLevel="0" collapsed="false">
      <c r="B22" s="322" t="s">
        <v>450</v>
      </c>
      <c r="C22" s="322" t="n">
        <v>1000</v>
      </c>
      <c r="D22" s="322" t="n">
        <v>1000</v>
      </c>
      <c r="E22" s="322" t="n">
        <v>1000</v>
      </c>
      <c r="F22" s="322" t="n">
        <v>1000</v>
      </c>
      <c r="G22" s="322" t="n">
        <v>1000</v>
      </c>
      <c r="H22" s="323" t="s">
        <v>215</v>
      </c>
    </row>
    <row r="23" customFormat="false" ht="15" hidden="false" customHeight="false" outlineLevel="0" collapsed="false">
      <c r="B23" s="322" t="s">
        <v>451</v>
      </c>
      <c r="C23" s="324" t="n">
        <v>0.999</v>
      </c>
      <c r="D23" s="324" t="n">
        <v>0.999</v>
      </c>
      <c r="E23" s="324" t="n">
        <v>0.999</v>
      </c>
      <c r="F23" s="324" t="n">
        <v>0.999</v>
      </c>
      <c r="G23" s="324" t="n">
        <v>0.999</v>
      </c>
      <c r="H23" s="323"/>
    </row>
    <row r="24" customFormat="false" ht="15" hidden="false" customHeight="false" outlineLevel="0" collapsed="false">
      <c r="B24" s="322" t="s">
        <v>452</v>
      </c>
      <c r="C24" s="325" t="n">
        <f aca="false">C22*(1-C23)*C3</f>
        <v>15500</v>
      </c>
      <c r="D24" s="325" t="n">
        <f aca="false">D22*(1-D23)*D3</f>
        <v>16275</v>
      </c>
      <c r="E24" s="325" t="n">
        <f aca="false">E22*(1-E23)*E3</f>
        <v>17088.75</v>
      </c>
      <c r="F24" s="325" t="n">
        <f aca="false">F22*(1-F23)*F3</f>
        <v>17943.1875</v>
      </c>
      <c r="G24" s="325" t="n">
        <f aca="false">G22*(1-G23)*G3</f>
        <v>18840.346875</v>
      </c>
      <c r="H24" s="323" t="s">
        <v>215</v>
      </c>
    </row>
    <row r="25" customFormat="false" ht="15" hidden="false" customHeight="false" outlineLevel="0" collapsed="false">
      <c r="B25" s="322" t="s">
        <v>453</v>
      </c>
      <c r="C25" s="322" t="n">
        <f aca="false">C4*C18+C24</f>
        <v>9315500</v>
      </c>
      <c r="D25" s="322" t="n">
        <f aca="false">D4*D18+D24</f>
        <v>9781275</v>
      </c>
      <c r="E25" s="322" t="n">
        <f aca="false">E4*E18+E24</f>
        <v>10270338.75</v>
      </c>
      <c r="F25" s="322" t="n">
        <f aca="false">F4*F18+F24</f>
        <v>10783855.6875</v>
      </c>
      <c r="G25" s="322" t="n">
        <f aca="false">G4*G18+G24</f>
        <v>11323048.471875</v>
      </c>
      <c r="H25" s="323" t="s">
        <v>215</v>
      </c>
    </row>
    <row r="26" customFormat="false" ht="15" hidden="false" customHeight="false" outlineLevel="0" collapsed="false">
      <c r="B26" s="322" t="s">
        <v>454</v>
      </c>
      <c r="C26" s="326" t="n">
        <f aca="false">C25*8/C21</f>
        <v>3922315.78947368</v>
      </c>
      <c r="D26" s="326" t="n">
        <f aca="false">D25*8/D21</f>
        <v>4118431.57894737</v>
      </c>
      <c r="E26" s="326" t="n">
        <f aca="false">E25*8/E21</f>
        <v>4324353.15789474</v>
      </c>
      <c r="F26" s="326" t="n">
        <f aca="false">F25*8/F21</f>
        <v>4540570.81578947</v>
      </c>
      <c r="G26" s="326" t="n">
        <f aca="false">G25*8/G21</f>
        <v>4767599.35657895</v>
      </c>
      <c r="H26" s="323" t="s">
        <v>455</v>
      </c>
    </row>
    <row r="27" customFormat="false" ht="15" hidden="false" customHeight="true" outlineLevel="0" collapsed="false">
      <c r="B27" s="321" t="s">
        <v>201</v>
      </c>
      <c r="C27" s="321"/>
      <c r="D27" s="321"/>
      <c r="E27" s="321"/>
      <c r="F27" s="321"/>
      <c r="G27" s="321"/>
      <c r="H27" s="321"/>
    </row>
    <row r="28" customFormat="false" ht="15" hidden="false" customHeight="true" outlineLevel="0" collapsed="false">
      <c r="B28" s="327" t="s">
        <v>454</v>
      </c>
      <c r="C28" s="328" t="n">
        <f aca="false">C16+C26</f>
        <v>4147770.33492823</v>
      </c>
      <c r="D28" s="328" t="n">
        <f aca="false">D16+D26</f>
        <v>4355158.85167464</v>
      </c>
      <c r="E28" s="328" t="n">
        <f aca="false">E16+E26</f>
        <v>4572916.79425837</v>
      </c>
      <c r="F28" s="328" t="n">
        <f aca="false">F16+F26</f>
        <v>4801562.63397129</v>
      </c>
      <c r="G28" s="328" t="n">
        <f aca="false">G16+G26</f>
        <v>5041640.76566986</v>
      </c>
      <c r="H28" s="323" t="s">
        <v>455</v>
      </c>
    </row>
    <row r="29" customFormat="false" ht="15" hidden="false" customHeight="false" outlineLevel="0" collapsed="false">
      <c r="B29" s="327"/>
      <c r="C29" s="328" t="n">
        <f aca="false">C28/1024</f>
        <v>4050.55696770335</v>
      </c>
      <c r="D29" s="328" t="n">
        <f aca="false">D28/1024</f>
        <v>4253.08481608852</v>
      </c>
      <c r="E29" s="328" t="n">
        <f aca="false">E28/1024</f>
        <v>4465.73905689294</v>
      </c>
      <c r="F29" s="328" t="n">
        <f aca="false">F28/1024</f>
        <v>4689.02600973759</v>
      </c>
      <c r="G29" s="328" t="n">
        <f aca="false">G28/1024</f>
        <v>4923.47731022447</v>
      </c>
      <c r="H29" s="323" t="s">
        <v>457</v>
      </c>
    </row>
    <row r="30" customFormat="false" ht="15" hidden="false" customHeight="false" outlineLevel="0" collapsed="false">
      <c r="B30" s="327"/>
      <c r="C30" s="328" t="n">
        <f aca="false">C29/1024</f>
        <v>3.9556220387728</v>
      </c>
      <c r="D30" s="328" t="n">
        <f aca="false">D29/1024</f>
        <v>4.15340314071144</v>
      </c>
      <c r="E30" s="328" t="n">
        <f aca="false">E29/1024</f>
        <v>4.36107329774702</v>
      </c>
      <c r="F30" s="328" t="n">
        <f aca="false">F29/1024</f>
        <v>4.57912696263437</v>
      </c>
      <c r="G30" s="328" t="n">
        <f aca="false">G29/1024</f>
        <v>4.80808331076608</v>
      </c>
      <c r="H30" s="323" t="s">
        <v>458</v>
      </c>
    </row>
    <row r="31" customFormat="false" ht="15.75" hidden="false" customHeight="false" outlineLevel="0" collapsed="false"/>
  </sheetData>
  <sheetProtection algorithmName="SHA-512" hashValue="rIcRLOVUM6LmGBEen8WYSOw5TV3oywMWmFffKMtQYrrTc3DdjHA1ulyvl3dURGdzdqRcNsh28FaBTbZyVY/x6Q==" saltValue="h1oQ7QA5rEeHfLXRmk+RLQ==" spinCount="100000" sheet="true" objects="true" scenarios="true"/>
  <protectedRanges>
    <protectedRange name="Volumes" sqref="B3:G4"/>
  </protectedRanges>
  <mergeCells count="5">
    <mergeCell ref="B6:H6"/>
    <mergeCell ref="B7:H7"/>
    <mergeCell ref="B17:H17"/>
    <mergeCell ref="B27:H27"/>
    <mergeCell ref="B28:B30"/>
  </mergeCells>
  <printOptions headings="false" gridLines="false" gridLinesSet="true" horizontalCentered="false" verticalCentered="false"/>
  <pageMargins left="0.699305555555556" right="0.699305555555556"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N13" activeCellId="0" sqref="N13"/>
    </sheetView>
  </sheetViews>
  <sheetFormatPr defaultColWidth="8.6796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9.1484375" defaultRowHeight="15" zeroHeight="false" outlineLevelRow="0" outlineLevelCol="0"/>
  <cols>
    <col collapsed="false" customWidth="true" hidden="false" outlineLevel="0" max="2" min="2" style="1" width="4.57"/>
    <col collapsed="false" customWidth="true" hidden="false" outlineLevel="0" max="3" min="3" style="1" width="90.86"/>
  </cols>
  <sheetData>
    <row r="1" customFormat="false" ht="15" hidden="false" customHeight="false" outlineLevel="0" collapsed="false">
      <c r="A1" s="12"/>
      <c r="B1" s="12"/>
      <c r="C1" s="12"/>
      <c r="D1" s="12"/>
      <c r="E1" s="12"/>
      <c r="F1" s="12"/>
      <c r="G1" s="12"/>
    </row>
    <row r="2" customFormat="false" ht="15.65" hidden="false" customHeight="false" outlineLevel="0" collapsed="false">
      <c r="A2" s="12"/>
      <c r="B2" s="329" t="s">
        <v>459</v>
      </c>
      <c r="C2" s="330" t="s">
        <v>33</v>
      </c>
      <c r="D2" s="12"/>
      <c r="E2" s="12"/>
      <c r="F2" s="12"/>
      <c r="G2" s="12"/>
    </row>
    <row r="3" customFormat="false" ht="15" hidden="false" customHeight="true" outlineLevel="0" collapsed="false">
      <c r="A3" s="12"/>
      <c r="B3" s="331" t="s">
        <v>460</v>
      </c>
      <c r="C3" s="331"/>
      <c r="D3" s="12"/>
      <c r="E3" s="12"/>
      <c r="F3" s="12"/>
      <c r="G3" s="12"/>
    </row>
    <row r="4" customFormat="false" ht="15" hidden="false" customHeight="false" outlineLevel="0" collapsed="false">
      <c r="A4" s="12"/>
      <c r="B4" s="332" t="n">
        <v>1</v>
      </c>
      <c r="C4" s="333" t="s">
        <v>461</v>
      </c>
      <c r="D4" s="12"/>
      <c r="E4" s="12"/>
      <c r="F4" s="12"/>
      <c r="G4" s="12"/>
    </row>
    <row r="5" customFormat="false" ht="15" hidden="false" customHeight="false" outlineLevel="0" collapsed="false">
      <c r="A5" s="12"/>
      <c r="B5" s="334" t="n">
        <f aca="false">B4+1</f>
        <v>2</v>
      </c>
      <c r="C5" s="333" t="s">
        <v>462</v>
      </c>
      <c r="D5" s="12"/>
      <c r="E5" s="12"/>
      <c r="F5" s="12"/>
      <c r="G5" s="12"/>
    </row>
    <row r="6" customFormat="false" ht="15" hidden="false" customHeight="false" outlineLevel="0" collapsed="false">
      <c r="A6" s="12"/>
      <c r="B6" s="334" t="n">
        <f aca="false">B5+1</f>
        <v>3</v>
      </c>
      <c r="C6" s="333" t="s">
        <v>463</v>
      </c>
      <c r="D6" s="12"/>
      <c r="E6" s="12"/>
      <c r="F6" s="12"/>
      <c r="G6" s="12"/>
    </row>
    <row r="7" customFormat="false" ht="15" hidden="false" customHeight="false" outlineLevel="0" collapsed="false">
      <c r="A7" s="12"/>
      <c r="B7" s="335" t="s">
        <v>464</v>
      </c>
      <c r="C7" s="336"/>
      <c r="D7" s="12"/>
      <c r="E7" s="12"/>
      <c r="F7" s="12"/>
      <c r="G7" s="12"/>
    </row>
    <row r="8" customFormat="false" ht="50.25" hidden="false" customHeight="true" outlineLevel="0" collapsed="false">
      <c r="A8" s="12"/>
      <c r="B8" s="334" t="n">
        <f aca="false">B6+1</f>
        <v>4</v>
      </c>
      <c r="C8" s="337" t="s">
        <v>465</v>
      </c>
      <c r="D8" s="12"/>
      <c r="E8" s="12"/>
      <c r="F8" s="12"/>
      <c r="G8" s="12"/>
    </row>
    <row r="9" customFormat="false" ht="28.35" hidden="false" customHeight="false" outlineLevel="0" collapsed="false">
      <c r="A9" s="12"/>
      <c r="B9" s="334" t="n">
        <f aca="false">B8+1</f>
        <v>5</v>
      </c>
      <c r="C9" s="337" t="s">
        <v>466</v>
      </c>
      <c r="D9" s="12"/>
      <c r="E9" s="12"/>
      <c r="F9" s="12"/>
      <c r="G9" s="12"/>
    </row>
    <row r="10" customFormat="false" ht="15" hidden="false" customHeight="false" outlineLevel="0" collapsed="false">
      <c r="A10" s="12"/>
      <c r="B10" s="334" t="n">
        <f aca="false">B9+1</f>
        <v>6</v>
      </c>
      <c r="C10" s="338" t="s">
        <v>467</v>
      </c>
      <c r="D10" s="12"/>
      <c r="E10" s="12"/>
      <c r="F10" s="12"/>
      <c r="G10" s="12"/>
    </row>
    <row r="11" customFormat="false" ht="15" hidden="false" customHeight="false" outlineLevel="0" collapsed="false">
      <c r="A11" s="12"/>
      <c r="B11" s="339" t="s">
        <v>468</v>
      </c>
      <c r="C11" s="339"/>
      <c r="D11" s="12"/>
      <c r="E11" s="12"/>
      <c r="F11" s="12"/>
      <c r="G11" s="12"/>
    </row>
    <row r="12" customFormat="false" ht="41.75" hidden="false" customHeight="false" outlineLevel="0" collapsed="false">
      <c r="A12" s="12"/>
      <c r="B12" s="334" t="n">
        <f aca="false">B10+1</f>
        <v>7</v>
      </c>
      <c r="C12" s="338" t="s">
        <v>469</v>
      </c>
      <c r="D12" s="12"/>
      <c r="E12" s="12"/>
      <c r="F12" s="12"/>
      <c r="G12" s="12"/>
    </row>
    <row r="13" customFormat="false" ht="28.35" hidden="false" customHeight="false" outlineLevel="0" collapsed="false">
      <c r="A13" s="12"/>
      <c r="B13" s="334" t="n">
        <f aca="false">B12+1</f>
        <v>8</v>
      </c>
      <c r="C13" s="280" t="s">
        <v>470</v>
      </c>
      <c r="D13" s="12"/>
      <c r="E13" s="12"/>
      <c r="F13" s="12"/>
      <c r="G13" s="12"/>
    </row>
    <row r="14" customFormat="false" ht="15" hidden="false" customHeight="false" outlineLevel="0" collapsed="false">
      <c r="A14" s="12"/>
      <c r="B14" s="339" t="s">
        <v>471</v>
      </c>
      <c r="C14" s="339"/>
      <c r="D14" s="12"/>
      <c r="E14" s="12"/>
      <c r="F14" s="12"/>
      <c r="G14" s="12"/>
    </row>
    <row r="15" customFormat="false" ht="41.75" hidden="false" customHeight="false" outlineLevel="0" collapsed="false">
      <c r="A15" s="12"/>
      <c r="B15" s="334" t="n">
        <f aca="false">B13+1</f>
        <v>9</v>
      </c>
      <c r="C15" s="338" t="s">
        <v>472</v>
      </c>
      <c r="D15" s="12"/>
      <c r="E15" s="12"/>
      <c r="F15" s="12"/>
      <c r="G15" s="12"/>
    </row>
    <row r="16" customFormat="false" ht="15" hidden="false" customHeight="false" outlineLevel="0" collapsed="false">
      <c r="A16" s="12"/>
      <c r="B16" s="340" t="s">
        <v>380</v>
      </c>
      <c r="C16" s="340"/>
      <c r="D16" s="12"/>
      <c r="E16" s="12"/>
      <c r="F16" s="12"/>
      <c r="G16" s="12"/>
    </row>
    <row r="17" customFormat="false" ht="28.35" hidden="false" customHeight="false" outlineLevel="0" collapsed="false">
      <c r="A17" s="12"/>
      <c r="B17" s="334" t="n">
        <f aca="false">B15+1</f>
        <v>10</v>
      </c>
      <c r="C17" s="338" t="s">
        <v>473</v>
      </c>
      <c r="D17" s="12"/>
      <c r="E17" s="12"/>
      <c r="F17" s="12"/>
      <c r="G17" s="12"/>
    </row>
    <row r="18" customFormat="false" ht="15" hidden="false" customHeight="false" outlineLevel="0" collapsed="false">
      <c r="A18" s="12"/>
      <c r="B18" s="340" t="s">
        <v>474</v>
      </c>
      <c r="C18" s="340"/>
      <c r="D18" s="12"/>
      <c r="E18" s="12"/>
      <c r="F18" s="12"/>
      <c r="G18" s="12"/>
    </row>
    <row r="19" customFormat="false" ht="28.35" hidden="false" customHeight="false" outlineLevel="0" collapsed="false">
      <c r="A19" s="12"/>
      <c r="B19" s="334" t="n">
        <f aca="false">B17+1</f>
        <v>11</v>
      </c>
      <c r="C19" s="341" t="s">
        <v>475</v>
      </c>
      <c r="D19" s="12"/>
      <c r="E19" s="12"/>
      <c r="F19" s="12"/>
      <c r="G19" s="12"/>
    </row>
    <row r="20" customFormat="false" ht="28.35" hidden="false" customHeight="false" outlineLevel="0" collapsed="false">
      <c r="A20" s="12"/>
      <c r="B20" s="334" t="n">
        <f aca="false">B19+1</f>
        <v>12</v>
      </c>
      <c r="C20" s="341" t="s">
        <v>476</v>
      </c>
      <c r="D20" s="12"/>
      <c r="E20" s="12"/>
      <c r="F20" s="12"/>
      <c r="G20" s="12"/>
    </row>
    <row r="21" customFormat="false" ht="15" hidden="false" customHeight="false" outlineLevel="0" collapsed="false">
      <c r="A21" s="12"/>
      <c r="B21" s="340" t="s">
        <v>477</v>
      </c>
      <c r="C21" s="340"/>
      <c r="D21" s="12"/>
      <c r="E21" s="12"/>
      <c r="F21" s="12"/>
      <c r="G21" s="12"/>
    </row>
    <row r="22" customFormat="false" ht="28.35" hidden="false" customHeight="false" outlineLevel="0" collapsed="false">
      <c r="A22" s="12"/>
      <c r="B22" s="334" t="n">
        <f aca="false">B20+1</f>
        <v>13</v>
      </c>
      <c r="C22" s="341" t="s">
        <v>478</v>
      </c>
      <c r="D22" s="12"/>
      <c r="E22" s="12"/>
      <c r="F22" s="12"/>
      <c r="G22" s="12"/>
    </row>
    <row r="23" customFormat="false" ht="41.75" hidden="false" customHeight="false" outlineLevel="0" collapsed="false">
      <c r="A23" s="12"/>
      <c r="B23" s="334" t="n">
        <f aca="false">B22+1</f>
        <v>14</v>
      </c>
      <c r="C23" s="341" t="s">
        <v>479</v>
      </c>
      <c r="D23" s="12"/>
      <c r="E23" s="12"/>
      <c r="F23" s="12"/>
      <c r="G23" s="12"/>
    </row>
    <row r="24" customFormat="false" ht="15" hidden="false" customHeight="false" outlineLevel="0" collapsed="false">
      <c r="A24" s="12"/>
      <c r="B24" s="334" t="n">
        <f aca="false">B23+1</f>
        <v>15</v>
      </c>
      <c r="C24" s="341" t="s">
        <v>480</v>
      </c>
      <c r="D24" s="12"/>
      <c r="E24" s="12"/>
      <c r="F24" s="12"/>
      <c r="G24" s="12"/>
    </row>
    <row r="25" customFormat="false" ht="33" hidden="false" customHeight="true" outlineLevel="0" collapsed="false">
      <c r="A25" s="12"/>
      <c r="B25" s="334" t="n">
        <f aca="false">B24+1</f>
        <v>16</v>
      </c>
      <c r="C25" s="341" t="s">
        <v>481</v>
      </c>
      <c r="D25" s="12"/>
      <c r="E25" s="12"/>
      <c r="F25" s="12"/>
      <c r="G25" s="12"/>
    </row>
    <row r="26" customFormat="false" ht="15" hidden="false" customHeight="false" outlineLevel="0" collapsed="false">
      <c r="A26" s="12"/>
      <c r="B26" s="334" t="n">
        <f aca="false">B25+1</f>
        <v>17</v>
      </c>
      <c r="C26" s="341" t="s">
        <v>482</v>
      </c>
      <c r="D26" s="12"/>
      <c r="E26" s="12"/>
      <c r="F26" s="12"/>
      <c r="G26" s="12"/>
    </row>
    <row r="27" customFormat="false" ht="28.35" hidden="false" customHeight="false" outlineLevel="0" collapsed="false">
      <c r="A27" s="12"/>
      <c r="B27" s="334" t="n">
        <f aca="false">B26+1</f>
        <v>18</v>
      </c>
      <c r="C27" s="338" t="s">
        <v>483</v>
      </c>
      <c r="D27" s="12"/>
      <c r="E27" s="12"/>
      <c r="F27" s="12"/>
      <c r="G27" s="12"/>
    </row>
    <row r="28" customFormat="false" ht="15" hidden="false" customHeight="false" outlineLevel="0" collapsed="false">
      <c r="A28" s="12"/>
      <c r="B28" s="334" t="n">
        <f aca="false">B27+1</f>
        <v>19</v>
      </c>
      <c r="C28" s="338" t="s">
        <v>484</v>
      </c>
      <c r="D28" s="12"/>
      <c r="E28" s="12"/>
      <c r="F28" s="12"/>
      <c r="G28" s="12"/>
    </row>
    <row r="29" customFormat="false" ht="15" hidden="false" customHeight="false" outlineLevel="0" collapsed="false">
      <c r="A29" s="12"/>
      <c r="B29" s="12"/>
      <c r="C29" s="12"/>
      <c r="D29" s="12"/>
      <c r="E29" s="12"/>
      <c r="F29" s="12"/>
      <c r="G29" s="12"/>
    </row>
    <row r="30" customFormat="false" ht="15" hidden="false" customHeight="false" outlineLevel="0" collapsed="false">
      <c r="A30" s="12"/>
      <c r="B30" s="12"/>
      <c r="C30" s="12"/>
      <c r="D30" s="12"/>
      <c r="E30" s="12"/>
      <c r="F30" s="12"/>
      <c r="G30" s="12"/>
    </row>
    <row r="31" customFormat="false" ht="15" hidden="false" customHeight="false" outlineLevel="0" collapsed="false">
      <c r="A31" s="12"/>
      <c r="B31" s="12"/>
      <c r="C31" s="12"/>
      <c r="D31" s="12"/>
      <c r="E31" s="12"/>
      <c r="F31" s="12"/>
      <c r="G31" s="12"/>
    </row>
    <row r="32" customFormat="false" ht="15" hidden="false" customHeight="false" outlineLevel="0" collapsed="false">
      <c r="A32" s="12"/>
      <c r="B32" s="12"/>
      <c r="C32" s="12"/>
      <c r="D32" s="12"/>
      <c r="E32" s="12"/>
      <c r="F32" s="12"/>
      <c r="G32" s="12"/>
    </row>
    <row r="33" customFormat="false" ht="15" hidden="false" customHeight="false" outlineLevel="0" collapsed="false">
      <c r="A33" s="12"/>
      <c r="B33" s="12"/>
      <c r="C33" s="12"/>
      <c r="D33" s="12"/>
      <c r="E33" s="12"/>
      <c r="F33" s="12"/>
      <c r="G33" s="12"/>
    </row>
    <row r="34" customFormat="false" ht="15" hidden="false" customHeight="false" outlineLevel="0" collapsed="false">
      <c r="A34" s="12"/>
      <c r="B34" s="12"/>
      <c r="C34" s="12"/>
      <c r="D34" s="12"/>
      <c r="E34" s="12"/>
      <c r="F34" s="12"/>
      <c r="G34" s="12"/>
    </row>
    <row r="35" customFormat="false" ht="15" hidden="false" customHeight="false" outlineLevel="0" collapsed="false">
      <c r="A35" s="12"/>
      <c r="B35" s="12"/>
      <c r="C35" s="12"/>
      <c r="D35" s="12"/>
      <c r="E35" s="12"/>
      <c r="F35" s="12"/>
      <c r="G35" s="12"/>
    </row>
  </sheetData>
  <sheetProtection algorithmName="SHA-512" hashValue="DHwZAKVkc1N0o0rz16HCD7PfO+6H7a1D5Aw0cZwP1+WYbyGHyuha+707EMsFc4IpJS2etCIU6RQCrMkSGmtBSA==" saltValue="6eZxbUg8Uo35RS+1pS42rA==" spinCount="100000" sheet="true" objects="true" scenarios="true"/>
  <protectedRanges>
    <protectedRange name="Volume and Concurrency" sqref="C4:C6"/>
  </protectedRanges>
  <mergeCells count="6">
    <mergeCell ref="B3:C3"/>
    <mergeCell ref="B11:C11"/>
    <mergeCell ref="B14:C14"/>
    <mergeCell ref="B16:C16"/>
    <mergeCell ref="B18:C18"/>
    <mergeCell ref="B21:C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9.1484375" defaultRowHeight="15" zeroHeight="false" outlineLevelRow="0" outlineLevelCol="0"/>
  <cols>
    <col collapsed="false" customWidth="true" hidden="false" outlineLevel="0" max="2" min="2" style="1" width="4.57"/>
    <col collapsed="false" customWidth="true" hidden="false" outlineLevel="0" max="3" min="3" style="1" width="90.86"/>
  </cols>
  <sheetData>
    <row r="1" customFormat="false" ht="15" hidden="false" customHeight="false" outlineLevel="0" collapsed="false">
      <c r="A1" s="12"/>
      <c r="B1" s="12"/>
      <c r="C1" s="12"/>
      <c r="D1" s="12"/>
      <c r="E1" s="12"/>
      <c r="F1" s="12"/>
      <c r="G1" s="12"/>
    </row>
    <row r="2" customFormat="false" ht="15.65" hidden="false" customHeight="false" outlineLevel="0" collapsed="false">
      <c r="A2" s="12"/>
      <c r="B2" s="329" t="s">
        <v>459</v>
      </c>
      <c r="C2" s="330" t="s">
        <v>33</v>
      </c>
      <c r="D2" s="12"/>
      <c r="E2" s="12"/>
      <c r="F2" s="12"/>
      <c r="G2" s="12"/>
    </row>
    <row r="3" customFormat="false" ht="15" hidden="false" customHeight="true" outlineLevel="0" collapsed="false">
      <c r="A3" s="12"/>
      <c r="B3" s="331" t="s">
        <v>460</v>
      </c>
      <c r="C3" s="331"/>
      <c r="D3" s="12"/>
      <c r="E3" s="12"/>
      <c r="F3" s="12"/>
      <c r="G3" s="12"/>
    </row>
    <row r="4" customFormat="false" ht="15" hidden="false" customHeight="false" outlineLevel="0" collapsed="false">
      <c r="A4" s="12"/>
      <c r="B4" s="332" t="n">
        <v>1</v>
      </c>
      <c r="C4" s="333" t="s">
        <v>461</v>
      </c>
      <c r="D4" s="12"/>
      <c r="E4" s="12"/>
      <c r="F4" s="12"/>
      <c r="G4" s="12"/>
    </row>
    <row r="5" customFormat="false" ht="15" hidden="false" customHeight="false" outlineLevel="0" collapsed="false">
      <c r="A5" s="12"/>
      <c r="B5" s="334" t="n">
        <f aca="false">B4+1</f>
        <v>2</v>
      </c>
      <c r="C5" s="333" t="s">
        <v>462</v>
      </c>
      <c r="D5" s="12"/>
      <c r="E5" s="12"/>
      <c r="F5" s="12"/>
      <c r="G5" s="12"/>
    </row>
    <row r="6" customFormat="false" ht="15" hidden="false" customHeight="false" outlineLevel="0" collapsed="false">
      <c r="A6" s="12"/>
      <c r="B6" s="334" t="n">
        <f aca="false">B5+1</f>
        <v>3</v>
      </c>
      <c r="C6" s="333" t="s">
        <v>463</v>
      </c>
      <c r="D6" s="12"/>
      <c r="E6" s="12"/>
      <c r="F6" s="12"/>
      <c r="G6" s="12"/>
    </row>
    <row r="7" customFormat="false" ht="15" hidden="false" customHeight="false" outlineLevel="0" collapsed="false">
      <c r="A7" s="12"/>
      <c r="B7" s="335" t="s">
        <v>464</v>
      </c>
      <c r="C7" s="336"/>
      <c r="D7" s="12"/>
      <c r="E7" s="12"/>
      <c r="F7" s="12"/>
      <c r="G7" s="12"/>
    </row>
    <row r="8" customFormat="false" ht="50.25" hidden="false" customHeight="true" outlineLevel="0" collapsed="false">
      <c r="A8" s="12"/>
      <c r="B8" s="334" t="n">
        <f aca="false">B6+1</f>
        <v>4</v>
      </c>
      <c r="C8" s="337" t="s">
        <v>465</v>
      </c>
      <c r="D8" s="12"/>
      <c r="E8" s="12"/>
      <c r="F8" s="12"/>
      <c r="G8" s="12"/>
    </row>
    <row r="9" customFormat="false" ht="15" hidden="false" customHeight="false" outlineLevel="0" collapsed="false">
      <c r="A9" s="12"/>
      <c r="B9" s="334" t="n">
        <f aca="false">B8+1</f>
        <v>5</v>
      </c>
      <c r="C9" s="338" t="s">
        <v>467</v>
      </c>
      <c r="D9" s="12"/>
      <c r="E9" s="12"/>
      <c r="F9" s="12"/>
      <c r="G9" s="12"/>
    </row>
    <row r="10" customFormat="false" ht="15" hidden="false" customHeight="false" outlineLevel="0" collapsed="false">
      <c r="A10" s="12"/>
      <c r="B10" s="339" t="s">
        <v>468</v>
      </c>
      <c r="C10" s="339"/>
      <c r="D10" s="12"/>
      <c r="E10" s="12"/>
      <c r="F10" s="12"/>
      <c r="G10" s="12"/>
    </row>
    <row r="11" customFormat="false" ht="41.75" hidden="false" customHeight="false" outlineLevel="0" collapsed="false">
      <c r="A11" s="12"/>
      <c r="B11" s="334" t="n">
        <f aca="false">B9+1</f>
        <v>6</v>
      </c>
      <c r="C11" s="338" t="s">
        <v>469</v>
      </c>
      <c r="D11" s="12"/>
      <c r="E11" s="12"/>
      <c r="F11" s="12"/>
      <c r="G11" s="12"/>
    </row>
    <row r="12" customFormat="false" ht="28.35" hidden="false" customHeight="false" outlineLevel="0" collapsed="false">
      <c r="A12" s="12"/>
      <c r="B12" s="334" t="n">
        <f aca="false">B11+1</f>
        <v>7</v>
      </c>
      <c r="C12" s="280" t="s">
        <v>470</v>
      </c>
      <c r="D12" s="12"/>
      <c r="E12" s="12"/>
      <c r="F12" s="12"/>
      <c r="G12" s="12"/>
    </row>
    <row r="13" customFormat="false" ht="15" hidden="false" customHeight="false" outlineLevel="0" collapsed="false">
      <c r="A13" s="12"/>
      <c r="B13" s="339" t="s">
        <v>147</v>
      </c>
      <c r="C13" s="339"/>
      <c r="D13" s="12"/>
      <c r="E13" s="12"/>
      <c r="F13" s="12"/>
      <c r="G13" s="12"/>
    </row>
    <row r="14" customFormat="false" ht="41.75" hidden="false" customHeight="false" outlineLevel="0" collapsed="false">
      <c r="A14" s="12"/>
      <c r="B14" s="334" t="n">
        <f aca="false">B12+1</f>
        <v>8</v>
      </c>
      <c r="C14" s="338" t="s">
        <v>485</v>
      </c>
      <c r="D14" s="12"/>
      <c r="E14" s="12"/>
      <c r="F14" s="12"/>
      <c r="G14" s="12"/>
    </row>
    <row r="15" customFormat="false" ht="15" hidden="false" customHeight="false" outlineLevel="0" collapsed="false">
      <c r="A15" s="12"/>
      <c r="B15" s="339" t="s">
        <v>471</v>
      </c>
      <c r="C15" s="339"/>
      <c r="D15" s="12"/>
      <c r="E15" s="12"/>
      <c r="F15" s="12"/>
      <c r="G15" s="12"/>
    </row>
    <row r="16" customFormat="false" ht="41.75" hidden="false" customHeight="false" outlineLevel="0" collapsed="false">
      <c r="A16" s="12"/>
      <c r="B16" s="334" t="n">
        <f aca="false">B12+1</f>
        <v>8</v>
      </c>
      <c r="C16" s="338" t="s">
        <v>472</v>
      </c>
      <c r="D16" s="12"/>
      <c r="E16" s="12"/>
      <c r="F16" s="12"/>
      <c r="G16" s="12"/>
    </row>
    <row r="17" customFormat="false" ht="15" hidden="false" customHeight="false" outlineLevel="0" collapsed="false">
      <c r="A17" s="12"/>
      <c r="B17" s="340" t="s">
        <v>380</v>
      </c>
      <c r="C17" s="340"/>
      <c r="D17" s="12"/>
      <c r="E17" s="12"/>
      <c r="F17" s="12"/>
      <c r="G17" s="12"/>
    </row>
    <row r="18" customFormat="false" ht="28.35" hidden="false" customHeight="false" outlineLevel="0" collapsed="false">
      <c r="A18" s="12"/>
      <c r="B18" s="334" t="n">
        <f aca="false">B16+1</f>
        <v>9</v>
      </c>
      <c r="C18" s="338" t="s">
        <v>473</v>
      </c>
      <c r="D18" s="12"/>
      <c r="E18" s="12"/>
      <c r="F18" s="12"/>
      <c r="G18" s="12"/>
    </row>
    <row r="19" customFormat="false" ht="15" hidden="false" customHeight="false" outlineLevel="0" collapsed="false">
      <c r="A19" s="12"/>
      <c r="B19" s="340" t="s">
        <v>474</v>
      </c>
      <c r="C19" s="340"/>
      <c r="D19" s="12"/>
      <c r="E19" s="12"/>
      <c r="F19" s="12"/>
      <c r="G19" s="12"/>
    </row>
    <row r="20" customFormat="false" ht="28.35" hidden="false" customHeight="false" outlineLevel="0" collapsed="false">
      <c r="A20" s="12"/>
      <c r="B20" s="334" t="n">
        <f aca="false">B18+1</f>
        <v>10</v>
      </c>
      <c r="C20" s="341" t="s">
        <v>475</v>
      </c>
      <c r="D20" s="12"/>
      <c r="E20" s="12"/>
      <c r="F20" s="12"/>
      <c r="G20" s="12"/>
    </row>
    <row r="21" customFormat="false" ht="28.35" hidden="false" customHeight="false" outlineLevel="0" collapsed="false">
      <c r="A21" s="12"/>
      <c r="B21" s="334" t="n">
        <f aca="false">B20+1</f>
        <v>11</v>
      </c>
      <c r="C21" s="341" t="s">
        <v>476</v>
      </c>
      <c r="D21" s="12"/>
      <c r="E21" s="12"/>
      <c r="F21" s="12"/>
      <c r="G21" s="12"/>
    </row>
    <row r="22" customFormat="false" ht="15" hidden="false" customHeight="false" outlineLevel="0" collapsed="false">
      <c r="A22" s="12"/>
      <c r="B22" s="334" t="n">
        <f aca="false">B21+1</f>
        <v>12</v>
      </c>
      <c r="C22" s="341" t="s">
        <v>486</v>
      </c>
      <c r="D22" s="12"/>
      <c r="E22" s="12"/>
      <c r="F22" s="12"/>
      <c r="G22" s="12"/>
    </row>
    <row r="23" customFormat="false" ht="15" hidden="false" customHeight="false" outlineLevel="0" collapsed="false">
      <c r="A23" s="12"/>
      <c r="B23" s="340" t="s">
        <v>477</v>
      </c>
      <c r="C23" s="340"/>
      <c r="D23" s="12"/>
      <c r="E23" s="12"/>
      <c r="F23" s="12"/>
      <c r="G23" s="12"/>
    </row>
    <row r="24" customFormat="false" ht="28.35" hidden="false" customHeight="false" outlineLevel="0" collapsed="false">
      <c r="A24" s="12"/>
      <c r="B24" s="334" t="n">
        <f aca="false">B22+1</f>
        <v>13</v>
      </c>
      <c r="C24" s="341" t="s">
        <v>478</v>
      </c>
      <c r="D24" s="12"/>
      <c r="E24" s="12"/>
      <c r="F24" s="12"/>
      <c r="G24" s="12"/>
    </row>
    <row r="25" customFormat="false" ht="41.75" hidden="false" customHeight="false" outlineLevel="0" collapsed="false">
      <c r="A25" s="12"/>
      <c r="B25" s="334" t="n">
        <f aca="false">B24+1</f>
        <v>14</v>
      </c>
      <c r="C25" s="341" t="s">
        <v>479</v>
      </c>
      <c r="D25" s="12"/>
      <c r="E25" s="12"/>
      <c r="F25" s="12"/>
      <c r="G25" s="12"/>
    </row>
    <row r="26" customFormat="false" ht="15" hidden="false" customHeight="false" outlineLevel="0" collapsed="false">
      <c r="A26" s="12"/>
      <c r="B26" s="334" t="n">
        <f aca="false">B25+1</f>
        <v>15</v>
      </c>
      <c r="C26" s="341" t="s">
        <v>480</v>
      </c>
      <c r="D26" s="12"/>
      <c r="E26" s="12"/>
      <c r="F26" s="12"/>
      <c r="G26" s="12"/>
    </row>
    <row r="27" customFormat="false" ht="33" hidden="false" customHeight="true" outlineLevel="0" collapsed="false">
      <c r="A27" s="12"/>
      <c r="B27" s="334" t="n">
        <f aca="false">B26+1</f>
        <v>16</v>
      </c>
      <c r="C27" s="341" t="s">
        <v>481</v>
      </c>
      <c r="D27" s="12"/>
      <c r="E27" s="12"/>
      <c r="F27" s="12"/>
      <c r="G27" s="12"/>
    </row>
    <row r="28" customFormat="false" ht="15" hidden="false" customHeight="false" outlineLevel="0" collapsed="false">
      <c r="A28" s="12"/>
      <c r="B28" s="334" t="n">
        <f aca="false">B27+1</f>
        <v>17</v>
      </c>
      <c r="C28" s="341" t="s">
        <v>482</v>
      </c>
      <c r="D28" s="12"/>
      <c r="E28" s="12"/>
      <c r="F28" s="12"/>
      <c r="G28" s="12"/>
    </row>
    <row r="29" customFormat="false" ht="28.35" hidden="false" customHeight="false" outlineLevel="0" collapsed="false">
      <c r="A29" s="12"/>
      <c r="B29" s="334" t="n">
        <f aca="false">B28+1</f>
        <v>18</v>
      </c>
      <c r="C29" s="338" t="s">
        <v>483</v>
      </c>
      <c r="D29" s="12"/>
      <c r="E29" s="12"/>
      <c r="F29" s="12"/>
      <c r="G29" s="12"/>
    </row>
    <row r="30" customFormat="false" ht="15" hidden="false" customHeight="false" outlineLevel="0" collapsed="false">
      <c r="A30" s="12"/>
      <c r="B30" s="334" t="n">
        <f aca="false">B29+1</f>
        <v>19</v>
      </c>
      <c r="C30" s="338" t="s">
        <v>484</v>
      </c>
      <c r="D30" s="12"/>
      <c r="E30" s="12"/>
      <c r="F30" s="12"/>
      <c r="G30" s="12"/>
    </row>
    <row r="31" customFormat="false" ht="15" hidden="false" customHeight="false" outlineLevel="0" collapsed="false">
      <c r="A31" s="12"/>
      <c r="B31" s="12"/>
      <c r="C31" s="12"/>
      <c r="D31" s="12"/>
      <c r="E31" s="12"/>
      <c r="F31" s="12"/>
      <c r="G31" s="12"/>
    </row>
    <row r="32" customFormat="false" ht="15" hidden="false" customHeight="false" outlineLevel="0" collapsed="false">
      <c r="A32" s="12"/>
      <c r="B32" s="12"/>
      <c r="C32" s="12"/>
      <c r="D32" s="12"/>
      <c r="E32" s="12"/>
      <c r="F32" s="12"/>
      <c r="G32" s="12"/>
    </row>
    <row r="33" customFormat="false" ht="15" hidden="false" customHeight="false" outlineLevel="0" collapsed="false">
      <c r="A33" s="12"/>
      <c r="B33" s="12"/>
      <c r="C33" s="12"/>
      <c r="D33" s="12"/>
      <c r="E33" s="12"/>
      <c r="F33" s="12"/>
      <c r="G33" s="12"/>
    </row>
    <row r="34" customFormat="false" ht="15" hidden="false" customHeight="false" outlineLevel="0" collapsed="false">
      <c r="A34" s="12"/>
      <c r="B34" s="12"/>
      <c r="C34" s="12"/>
      <c r="D34" s="12"/>
      <c r="E34" s="12"/>
      <c r="F34" s="12"/>
      <c r="G34" s="12"/>
    </row>
    <row r="35" customFormat="false" ht="15" hidden="false" customHeight="false" outlineLevel="0" collapsed="false">
      <c r="A35" s="12"/>
      <c r="B35" s="12"/>
      <c r="C35" s="12"/>
      <c r="D35" s="12"/>
      <c r="E35" s="12"/>
      <c r="F35" s="12"/>
      <c r="G35" s="12"/>
    </row>
    <row r="36" customFormat="false" ht="15" hidden="false" customHeight="false" outlineLevel="0" collapsed="false">
      <c r="A36" s="12"/>
      <c r="B36" s="12"/>
      <c r="C36" s="12"/>
      <c r="D36" s="12"/>
      <c r="E36" s="12"/>
      <c r="F36" s="12"/>
      <c r="G36" s="12"/>
    </row>
    <row r="37" customFormat="false" ht="15" hidden="false" customHeight="false" outlineLevel="0" collapsed="false">
      <c r="A37" s="12"/>
      <c r="B37" s="12"/>
      <c r="C37" s="12"/>
      <c r="D37" s="12"/>
      <c r="E37" s="12"/>
      <c r="F37" s="12"/>
      <c r="G37" s="12"/>
    </row>
  </sheetData>
  <sheetProtection algorithmName="SHA-512" hashValue="VJ3ivEajpTrpwjObByNkbCXgDm/ktDhTIriFXO0PV2rCMycLK49XVsOA7hvbDOrsDOrJXIm5N/P8Kwn/UKmd7w==" saltValue="8J/hRL0iknmqk4Sb1XdAeg==" spinCount="100000" sheet="true" objects="true" scenarios="true"/>
  <protectedRanges>
    <protectedRange name="Volume and Concurrency" sqref="C4:C6"/>
  </protectedRanges>
  <mergeCells count="7">
    <mergeCell ref="B3:C3"/>
    <mergeCell ref="B10:C10"/>
    <mergeCell ref="B13:C13"/>
    <mergeCell ref="B15:C15"/>
    <mergeCell ref="B17:C17"/>
    <mergeCell ref="B19:C19"/>
    <mergeCell ref="B23:C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9.1484375" defaultRowHeight="15" zeroHeight="false" outlineLevelRow="0" outlineLevelCol="0"/>
  <cols>
    <col collapsed="false" customWidth="true" hidden="false" outlineLevel="0" max="2" min="2" style="1" width="6.29"/>
    <col collapsed="false" customWidth="true" hidden="false" outlineLevel="0" max="3" min="3" style="1" width="90.86"/>
  </cols>
  <sheetData>
    <row r="1" customFormat="false" ht="15" hidden="false" customHeight="false" outlineLevel="0" collapsed="false">
      <c r="A1" s="12"/>
      <c r="B1" s="12"/>
      <c r="C1" s="12"/>
      <c r="D1" s="12"/>
      <c r="E1" s="12"/>
      <c r="F1" s="12"/>
      <c r="G1" s="12"/>
    </row>
    <row r="2" customFormat="false" ht="15.65" hidden="false" customHeight="false" outlineLevel="0" collapsed="false">
      <c r="A2" s="12"/>
      <c r="B2" s="329" t="s">
        <v>459</v>
      </c>
      <c r="C2" s="330" t="s">
        <v>33</v>
      </c>
      <c r="D2" s="12"/>
      <c r="E2" s="12"/>
      <c r="F2" s="12"/>
      <c r="G2" s="12"/>
    </row>
    <row r="3" customFormat="false" ht="15" hidden="false" customHeight="true" outlineLevel="0" collapsed="false">
      <c r="A3" s="12"/>
      <c r="B3" s="331" t="s">
        <v>460</v>
      </c>
      <c r="C3" s="331"/>
      <c r="D3" s="12"/>
      <c r="E3" s="12"/>
      <c r="F3" s="12"/>
      <c r="G3" s="12"/>
    </row>
    <row r="4" customFormat="false" ht="15" hidden="false" customHeight="false" outlineLevel="0" collapsed="false">
      <c r="A4" s="12"/>
      <c r="B4" s="332" t="n">
        <v>1</v>
      </c>
      <c r="C4" s="333" t="s">
        <v>487</v>
      </c>
      <c r="D4" s="12"/>
      <c r="E4" s="12"/>
      <c r="F4" s="12"/>
      <c r="G4" s="12"/>
    </row>
    <row r="5" customFormat="false" ht="15" hidden="false" customHeight="false" outlineLevel="0" collapsed="false">
      <c r="A5" s="12"/>
      <c r="B5" s="334" t="n">
        <f aca="false">B4+1</f>
        <v>2</v>
      </c>
      <c r="C5" s="333" t="s">
        <v>462</v>
      </c>
      <c r="D5" s="12"/>
      <c r="E5" s="12"/>
      <c r="F5" s="12"/>
      <c r="G5" s="12"/>
    </row>
    <row r="6" customFormat="false" ht="15" hidden="false" customHeight="false" outlineLevel="0" collapsed="false">
      <c r="A6" s="12"/>
      <c r="B6" s="334" t="n">
        <f aca="false">B5+1</f>
        <v>3</v>
      </c>
      <c r="C6" s="333" t="s">
        <v>463</v>
      </c>
      <c r="D6" s="12"/>
      <c r="E6" s="12"/>
      <c r="F6" s="12"/>
      <c r="G6" s="12"/>
    </row>
    <row r="7" customFormat="false" ht="15" hidden="false" customHeight="false" outlineLevel="0" collapsed="false">
      <c r="A7" s="12"/>
      <c r="B7" s="335" t="s">
        <v>464</v>
      </c>
      <c r="C7" s="336"/>
      <c r="D7" s="12"/>
      <c r="E7" s="12"/>
      <c r="F7" s="12"/>
      <c r="G7" s="12"/>
    </row>
    <row r="8" customFormat="false" ht="50.25" hidden="false" customHeight="true" outlineLevel="0" collapsed="false">
      <c r="A8" s="12"/>
      <c r="B8" s="334" t="n">
        <f aca="false">B6+1</f>
        <v>4</v>
      </c>
      <c r="C8" s="337" t="s">
        <v>465</v>
      </c>
      <c r="D8" s="12"/>
      <c r="E8" s="12"/>
      <c r="F8" s="12"/>
      <c r="G8" s="12"/>
    </row>
    <row r="9" customFormat="false" ht="28.35" hidden="false" customHeight="false" outlineLevel="0" collapsed="false">
      <c r="A9" s="12"/>
      <c r="B9" s="334" t="n">
        <f aca="false">B8+1</f>
        <v>5</v>
      </c>
      <c r="C9" s="337" t="s">
        <v>488</v>
      </c>
      <c r="D9" s="12"/>
      <c r="E9" s="12"/>
      <c r="F9" s="12"/>
      <c r="G9" s="12"/>
    </row>
    <row r="10" customFormat="false" ht="15" hidden="false" customHeight="false" outlineLevel="0" collapsed="false">
      <c r="A10" s="12"/>
      <c r="B10" s="334" t="n">
        <f aca="false">B9+1</f>
        <v>6</v>
      </c>
      <c r="C10" s="338" t="s">
        <v>467</v>
      </c>
      <c r="D10" s="12"/>
      <c r="E10" s="12"/>
      <c r="F10" s="12"/>
      <c r="G10" s="12"/>
    </row>
    <row r="11" customFormat="false" ht="15" hidden="false" customHeight="false" outlineLevel="0" collapsed="false">
      <c r="A11" s="12"/>
      <c r="B11" s="339" t="s">
        <v>468</v>
      </c>
      <c r="C11" s="339"/>
      <c r="D11" s="12"/>
      <c r="E11" s="12"/>
      <c r="F11" s="12"/>
      <c r="G11" s="12"/>
    </row>
    <row r="12" customFormat="false" ht="28.35" hidden="false" customHeight="false" outlineLevel="0" collapsed="false">
      <c r="A12" s="12"/>
      <c r="B12" s="334" t="n">
        <f aca="false">B10+1</f>
        <v>7</v>
      </c>
      <c r="C12" s="338" t="s">
        <v>489</v>
      </c>
      <c r="D12" s="12"/>
      <c r="E12" s="12"/>
      <c r="F12" s="12"/>
      <c r="G12" s="12"/>
    </row>
    <row r="13" customFormat="false" ht="15" hidden="false" customHeight="false" outlineLevel="0" collapsed="false">
      <c r="A13" s="12"/>
      <c r="B13" s="339" t="s">
        <v>147</v>
      </c>
      <c r="C13" s="339"/>
      <c r="D13" s="12"/>
      <c r="E13" s="12"/>
      <c r="F13" s="12"/>
      <c r="G13" s="12"/>
    </row>
    <row r="14" customFormat="false" ht="55.2" hidden="false" customHeight="false" outlineLevel="0" collapsed="false">
      <c r="A14" s="12"/>
      <c r="B14" s="334" t="n">
        <f aca="false">B12+1</f>
        <v>8</v>
      </c>
      <c r="C14" s="338" t="s">
        <v>490</v>
      </c>
      <c r="D14" s="12"/>
      <c r="E14" s="12"/>
      <c r="F14" s="12"/>
      <c r="G14" s="12"/>
    </row>
    <row r="15" customFormat="false" ht="15" hidden="false" customHeight="false" outlineLevel="0" collapsed="false">
      <c r="A15" s="12"/>
      <c r="B15" s="339" t="s">
        <v>471</v>
      </c>
      <c r="C15" s="339"/>
      <c r="D15" s="12"/>
      <c r="E15" s="12"/>
      <c r="F15" s="12"/>
      <c r="G15" s="12"/>
    </row>
    <row r="16" customFormat="false" ht="41.75" hidden="false" customHeight="false" outlineLevel="0" collapsed="false">
      <c r="A16" s="12"/>
      <c r="B16" s="334" t="n">
        <f aca="false">B14+1</f>
        <v>9</v>
      </c>
      <c r="C16" s="338" t="s">
        <v>491</v>
      </c>
      <c r="D16" s="12"/>
      <c r="E16" s="12"/>
      <c r="F16" s="12"/>
      <c r="G16" s="12"/>
    </row>
    <row r="17" customFormat="false" ht="15" hidden="false" customHeight="false" outlineLevel="0" collapsed="false">
      <c r="A17" s="12"/>
      <c r="B17" s="339" t="s">
        <v>149</v>
      </c>
      <c r="C17" s="339"/>
      <c r="D17" s="12"/>
      <c r="E17" s="12"/>
      <c r="F17" s="12"/>
      <c r="G17" s="12"/>
    </row>
    <row r="18" customFormat="false" ht="15" hidden="false" customHeight="false" outlineLevel="0" collapsed="false">
      <c r="A18" s="12"/>
      <c r="B18" s="334" t="n">
        <f aca="false">B16+1</f>
        <v>10</v>
      </c>
      <c r="C18" s="338" t="s">
        <v>492</v>
      </c>
      <c r="D18" s="12"/>
      <c r="E18" s="12"/>
      <c r="F18" s="12"/>
      <c r="G18" s="12"/>
    </row>
    <row r="19" customFormat="false" ht="15" hidden="false" customHeight="false" outlineLevel="0" collapsed="false">
      <c r="A19" s="12"/>
      <c r="B19" s="339" t="s">
        <v>150</v>
      </c>
      <c r="C19" s="339"/>
      <c r="D19" s="12"/>
      <c r="E19" s="12"/>
      <c r="F19" s="12"/>
      <c r="G19" s="12"/>
    </row>
    <row r="20" customFormat="false" ht="15" hidden="false" customHeight="false" outlineLevel="0" collapsed="false">
      <c r="A20" s="12"/>
      <c r="B20" s="334" t="n">
        <f aca="false">B18+1</f>
        <v>11</v>
      </c>
      <c r="C20" s="338" t="s">
        <v>493</v>
      </c>
      <c r="D20" s="12"/>
      <c r="E20" s="12"/>
      <c r="F20" s="12"/>
      <c r="G20" s="12"/>
    </row>
    <row r="21" customFormat="false" ht="15" hidden="false" customHeight="false" outlineLevel="0" collapsed="false">
      <c r="A21" s="12"/>
      <c r="B21" s="339" t="s">
        <v>494</v>
      </c>
      <c r="C21" s="339"/>
      <c r="D21" s="12"/>
      <c r="E21" s="12"/>
      <c r="F21" s="12"/>
      <c r="G21" s="12"/>
    </row>
    <row r="22" customFormat="false" ht="15" hidden="false" customHeight="false" outlineLevel="0" collapsed="false">
      <c r="A22" s="12"/>
      <c r="B22" s="334" t="n">
        <f aca="false">B20+1</f>
        <v>12</v>
      </c>
      <c r="C22" s="338" t="s">
        <v>493</v>
      </c>
      <c r="D22" s="12"/>
      <c r="E22" s="12"/>
      <c r="F22" s="12"/>
      <c r="G22" s="12"/>
    </row>
    <row r="23" customFormat="false" ht="15" hidden="false" customHeight="false" outlineLevel="0" collapsed="false">
      <c r="A23" s="12"/>
      <c r="B23" s="340" t="s">
        <v>380</v>
      </c>
      <c r="C23" s="340"/>
      <c r="D23" s="12"/>
      <c r="E23" s="12"/>
      <c r="F23" s="12"/>
      <c r="G23" s="12"/>
    </row>
    <row r="24" customFormat="false" ht="28.35" hidden="false" customHeight="false" outlineLevel="0" collapsed="false">
      <c r="A24" s="12"/>
      <c r="B24" s="334" t="n">
        <f aca="false">B22+1</f>
        <v>13</v>
      </c>
      <c r="C24" s="338" t="s">
        <v>495</v>
      </c>
      <c r="D24" s="12"/>
      <c r="E24" s="12"/>
      <c r="F24" s="12"/>
      <c r="G24" s="12"/>
    </row>
    <row r="25" customFormat="false" ht="15" hidden="false" customHeight="false" outlineLevel="0" collapsed="false">
      <c r="A25" s="12"/>
      <c r="B25" s="340" t="s">
        <v>474</v>
      </c>
      <c r="C25" s="340"/>
      <c r="D25" s="12"/>
      <c r="E25" s="12"/>
      <c r="F25" s="12"/>
      <c r="G25" s="12"/>
    </row>
    <row r="26" customFormat="false" ht="28.35" hidden="false" customHeight="false" outlineLevel="0" collapsed="false">
      <c r="A26" s="12"/>
      <c r="B26" s="334" t="n">
        <f aca="false">B24+1</f>
        <v>14</v>
      </c>
      <c r="C26" s="341" t="s">
        <v>475</v>
      </c>
      <c r="D26" s="12"/>
      <c r="E26" s="12"/>
      <c r="F26" s="12"/>
      <c r="G26" s="12"/>
    </row>
    <row r="27" customFormat="false" ht="28.35" hidden="false" customHeight="false" outlineLevel="0" collapsed="false">
      <c r="A27" s="12"/>
      <c r="B27" s="334" t="n">
        <f aca="false">B26+1</f>
        <v>15</v>
      </c>
      <c r="C27" s="341" t="s">
        <v>476</v>
      </c>
      <c r="D27" s="12"/>
      <c r="E27" s="12"/>
      <c r="F27" s="12"/>
      <c r="G27" s="12"/>
    </row>
    <row r="28" customFormat="false" ht="15" hidden="false" customHeight="false" outlineLevel="0" collapsed="false">
      <c r="A28" s="12"/>
      <c r="B28" s="340" t="s">
        <v>496</v>
      </c>
      <c r="C28" s="340"/>
      <c r="D28" s="12"/>
      <c r="E28" s="12"/>
      <c r="F28" s="12"/>
      <c r="G28" s="12"/>
    </row>
    <row r="29" customFormat="false" ht="15" hidden="false" customHeight="false" outlineLevel="0" collapsed="false">
      <c r="A29" s="12"/>
      <c r="B29" s="334" t="n">
        <f aca="false">B27+1</f>
        <v>16</v>
      </c>
      <c r="C29" s="338" t="s">
        <v>497</v>
      </c>
      <c r="D29" s="12"/>
      <c r="E29" s="12"/>
      <c r="F29" s="12"/>
      <c r="G29" s="12"/>
    </row>
    <row r="30" customFormat="false" ht="15" hidden="false" customHeight="false" outlineLevel="0" collapsed="false">
      <c r="A30" s="12"/>
      <c r="B30" s="340" t="s">
        <v>498</v>
      </c>
      <c r="C30" s="340"/>
      <c r="D30" s="12"/>
      <c r="E30" s="12"/>
      <c r="F30" s="12"/>
      <c r="G30" s="12"/>
    </row>
    <row r="31" customFormat="false" ht="41.75" hidden="false" customHeight="false" outlineLevel="0" collapsed="false">
      <c r="A31" s="12"/>
      <c r="B31" s="334" t="n">
        <f aca="false">B29+1</f>
        <v>17</v>
      </c>
      <c r="C31" s="338" t="s">
        <v>499</v>
      </c>
      <c r="D31" s="12"/>
      <c r="E31" s="12"/>
      <c r="F31" s="12"/>
      <c r="G31" s="12"/>
    </row>
    <row r="32" customFormat="false" ht="15" hidden="false" customHeight="false" outlineLevel="0" collapsed="false">
      <c r="A32" s="12"/>
      <c r="B32" s="340" t="s">
        <v>477</v>
      </c>
      <c r="C32" s="340"/>
      <c r="D32" s="12"/>
      <c r="E32" s="12"/>
      <c r="F32" s="12"/>
      <c r="G32" s="12"/>
    </row>
    <row r="33" customFormat="false" ht="28.35" hidden="false" customHeight="false" outlineLevel="0" collapsed="false">
      <c r="A33" s="12"/>
      <c r="B33" s="334" t="n">
        <f aca="false">B31+1</f>
        <v>18</v>
      </c>
      <c r="C33" s="341" t="s">
        <v>478</v>
      </c>
      <c r="D33" s="12"/>
      <c r="E33" s="12"/>
      <c r="F33" s="12"/>
      <c r="G33" s="12"/>
    </row>
    <row r="34" customFormat="false" ht="41.75" hidden="false" customHeight="false" outlineLevel="0" collapsed="false">
      <c r="A34" s="12"/>
      <c r="B34" s="334" t="n">
        <f aca="false">B33+1</f>
        <v>19</v>
      </c>
      <c r="C34" s="341" t="s">
        <v>500</v>
      </c>
      <c r="D34" s="12"/>
      <c r="E34" s="12"/>
      <c r="F34" s="12"/>
      <c r="G34" s="12"/>
    </row>
    <row r="35" customFormat="false" ht="15" hidden="false" customHeight="false" outlineLevel="0" collapsed="false">
      <c r="A35" s="12"/>
      <c r="B35" s="334" t="n">
        <f aca="false">B34+1</f>
        <v>20</v>
      </c>
      <c r="C35" s="341" t="s">
        <v>501</v>
      </c>
      <c r="D35" s="12"/>
      <c r="E35" s="12"/>
      <c r="F35" s="12"/>
      <c r="G35" s="12"/>
    </row>
    <row r="36" customFormat="false" ht="28.35" hidden="false" customHeight="false" outlineLevel="0" collapsed="false">
      <c r="A36" s="12"/>
      <c r="B36" s="334" t="n">
        <f aca="false">B35+1</f>
        <v>21</v>
      </c>
      <c r="C36" s="338" t="s">
        <v>483</v>
      </c>
      <c r="D36" s="12"/>
      <c r="E36" s="12"/>
      <c r="F36" s="12"/>
      <c r="G36" s="12"/>
    </row>
    <row r="37" customFormat="false" ht="15" hidden="false" customHeight="false" outlineLevel="0" collapsed="false">
      <c r="A37" s="12"/>
      <c r="B37" s="12"/>
      <c r="C37" s="12"/>
      <c r="D37" s="12"/>
      <c r="E37" s="12"/>
      <c r="F37" s="12"/>
      <c r="G37" s="12"/>
    </row>
    <row r="38" customFormat="false" ht="15" hidden="false" customHeight="false" outlineLevel="0" collapsed="false">
      <c r="A38" s="12"/>
      <c r="B38" s="12"/>
      <c r="C38" s="12"/>
      <c r="D38" s="12"/>
      <c r="E38" s="12"/>
      <c r="F38" s="12"/>
      <c r="G38" s="12"/>
    </row>
    <row r="39" customFormat="false" ht="15" hidden="false" customHeight="false" outlineLevel="0" collapsed="false">
      <c r="A39" s="12"/>
      <c r="B39" s="12"/>
      <c r="C39" s="12"/>
      <c r="D39" s="12"/>
      <c r="E39" s="12"/>
      <c r="F39" s="12"/>
      <c r="G39" s="12"/>
    </row>
    <row r="40" customFormat="false" ht="15" hidden="false" customHeight="false" outlineLevel="0" collapsed="false">
      <c r="A40" s="12"/>
      <c r="B40" s="12"/>
      <c r="C40" s="12"/>
      <c r="D40" s="12"/>
      <c r="E40" s="12"/>
      <c r="F40" s="12"/>
      <c r="G40" s="12"/>
    </row>
    <row r="41" customFormat="false" ht="15" hidden="false" customHeight="false" outlineLevel="0" collapsed="false">
      <c r="A41" s="12"/>
      <c r="B41" s="12"/>
      <c r="C41" s="12"/>
      <c r="D41" s="12"/>
      <c r="E41" s="12"/>
      <c r="F41" s="12"/>
      <c r="G41" s="12"/>
    </row>
    <row r="42" customFormat="false" ht="15" hidden="false" customHeight="false" outlineLevel="0" collapsed="false">
      <c r="A42" s="12"/>
      <c r="B42" s="12"/>
      <c r="C42" s="12"/>
      <c r="D42" s="12"/>
      <c r="E42" s="12"/>
      <c r="F42" s="12"/>
      <c r="G42" s="12"/>
    </row>
    <row r="43" customFormat="false" ht="15" hidden="false" customHeight="false" outlineLevel="0" collapsed="false">
      <c r="A43" s="12"/>
      <c r="B43" s="12"/>
      <c r="C43" s="12"/>
      <c r="D43" s="12"/>
      <c r="E43" s="12"/>
      <c r="F43" s="12"/>
      <c r="G43" s="12"/>
    </row>
  </sheetData>
  <sheetProtection algorithmName="SHA-512" hashValue="d6AbGnsfDpxmX6dher4ZdlTTxyCu+9iMAvSfo7YlACDLUhRQbcxZ4oMLyOrYsTPQ6vNTnUpbusyXFd+ciy9w7w==" saltValue="qhoCIK0Dxfj3P6yHEGA1hA==" spinCount="100000" sheet="true" objects="true" scenarios="true"/>
  <protectedRanges>
    <protectedRange name="Volume and Concurrency" sqref="C4:C6"/>
  </protectedRanges>
  <mergeCells count="12">
    <mergeCell ref="B3:C3"/>
    <mergeCell ref="B11:C11"/>
    <mergeCell ref="B13:C13"/>
    <mergeCell ref="B15:C15"/>
    <mergeCell ref="B17:C17"/>
    <mergeCell ref="B19:C19"/>
    <mergeCell ref="B21:C21"/>
    <mergeCell ref="B23:C23"/>
    <mergeCell ref="B25:C25"/>
    <mergeCell ref="B28:C28"/>
    <mergeCell ref="B30:C30"/>
    <mergeCell ref="B32:C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3: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7" activeCellId="0" sqref="F17"/>
    </sheetView>
  </sheetViews>
  <sheetFormatPr defaultColWidth="8.6796875" defaultRowHeight="15" zeroHeight="false" outlineLevelRow="0" outlineLevelCol="0"/>
  <sheetData>
    <row r="3" customFormat="false" ht="15" hidden="false" customHeight="false" outlineLevel="0" collapsed="false">
      <c r="D3" s="1" t="s">
        <v>210</v>
      </c>
    </row>
    <row r="4" customFormat="false" ht="15" hidden="false" customHeight="false" outlineLevel="0" collapsed="false">
      <c r="D4" s="1" t="s">
        <v>141</v>
      </c>
    </row>
    <row r="5" customFormat="false" ht="15" hidden="false" customHeight="false" outlineLevel="0" collapsed="false">
      <c r="D5" s="1" t="s">
        <v>152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9650a09-bea8-446c-93c1-da0fa3a110bb" xsi:nil="true"/>
    <DateTime xmlns="dc8cf51d-6865-4274-af30-b4ce83c6774e" xsi:nil="true"/>
    <lcf76f155ced4ddcb4097134ff3c332f xmlns="dc8cf51d-6865-4274-af30-b4ce83c677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7C8883F200AE4AA7DC677F98F1DD40" ma:contentTypeVersion="16" ma:contentTypeDescription="Create a new document." ma:contentTypeScope="" ma:versionID="a5e0a5378948352aad8678c31773b0d4">
  <xsd:schema xmlns:xsd="http://www.w3.org/2001/XMLSchema" xmlns:xs="http://www.w3.org/2001/XMLSchema" xmlns:p="http://schemas.microsoft.com/office/2006/metadata/properties" xmlns:ns2="dc8cf51d-6865-4274-af30-b4ce83c6774e" xmlns:ns3="19650a09-bea8-446c-93c1-da0fa3a110bb" targetNamespace="http://schemas.microsoft.com/office/2006/metadata/properties" ma:root="true" ma:fieldsID="8a0bb30ef738f845075408d21a8e9d97" ns2:_="" ns3:_="">
    <xsd:import namespace="dc8cf51d-6865-4274-af30-b4ce83c6774e"/>
    <xsd:import namespace="19650a09-bea8-446c-93c1-da0fa3a110bb"/>
    <xsd:element name="properties">
      <xsd:complexType>
        <xsd:sequence>
          <xsd:element name="documentManagement">
            <xsd:complexType>
              <xsd:all>
                <xsd:element ref="ns2:DateTime" minOccurs="0"/>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8cf51d-6865-4274-af30-b4ce83c6774e" elementFormDefault="qualified">
    <xsd:import namespace="http://schemas.microsoft.com/office/2006/documentManagement/types"/>
    <xsd:import namespace="http://schemas.microsoft.com/office/infopath/2007/PartnerControls"/>
    <xsd:element name="DateTime" ma:index="8" nillable="true" ma:displayName="Date Time" ma:format="DateOnly" ma:internalName="DateTime">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f223b0e-6099-427b-8a06-7e583c67c19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650a09-bea8-446c-93c1-da0fa3a110b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13833fe-4cef-41d5-9d23-2214a180e42d}" ma:internalName="TaxCatchAll" ma:showField="CatchAllData" ma:web="19650a09-bea8-446c-93c1-da0fa3a110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609EB6-3706-4150-BE2E-581D8D06C9C5}"/>
</file>

<file path=customXml/itemProps2.xml><?xml version="1.0" encoding="utf-8"?>
<ds:datastoreItem xmlns:ds="http://schemas.openxmlformats.org/officeDocument/2006/customXml" ds:itemID="{374D2CE6-E02E-4801-A1AA-B54FD0F661A7}"/>
</file>

<file path=customXml/itemProps3.xml><?xml version="1.0" encoding="utf-8"?>
<ds:datastoreItem xmlns:ds="http://schemas.openxmlformats.org/officeDocument/2006/customXml" ds:itemID="{33CDAEC2-A0A1-4CE3-8636-947BE4132CE8}"/>
</file>

<file path=docMetadata/LabelInfo.xml><?xml version="1.0" encoding="utf-8"?>
<clbl:labelList xmlns:clbl="http://schemas.microsoft.com/office/2020/mipLabelMetadata">
  <clbl:label id="{37cadf44-3c1b-4c91-a356-e885893e183a}" enabled="0" method="" siteId="{37cadf44-3c1b-4c91-a356-e885893e183a}" removed="1"/>
</clbl:labelLis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2020-02-26T10:21:54Z</dcterms:created>
  <dc:creator>Naveen Vaila</dc:creator>
  <dc:description/>
  <dc:language>en-US</dc:language>
  <cp:lastModifiedBy/>
  <dcterms:modified xsi:type="dcterms:W3CDTF">2026-03-10T15:36:19Z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0x010100227C8883F200AE4AA7DC677F98F1DD40</vt:lpwstr>
  </property>
</Properties>
</file>