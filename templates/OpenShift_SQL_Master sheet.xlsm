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vnish.rai\Downloads\"/>
    </mc:Choice>
  </mc:AlternateContent>
  <xr:revisionPtr revIDLastSave="0" documentId="8_{F1FA5EDC-8A53-43AF-B4A3-443ACD278C24}" xr6:coauthVersionLast="47" xr6:coauthVersionMax="47" xr10:uidLastSave="{00000000-0000-0000-0000-000000000000}"/>
  <bookViews>
    <workbookView xWindow="-108" yWindow="-108" windowWidth="23256" windowHeight="12576" tabRatio="870" firstSheet="2" activeTab="2" xr2:uid="{00000000-000D-0000-FFFF-FFFF00000000}"/>
  </bookViews>
  <sheets>
    <sheet name="Volumes_7Jan" sheetId="34" state="hidden" r:id="rId1"/>
    <sheet name="Pre-Requisites" sheetId="19" r:id="rId2"/>
    <sheet name="Data" sheetId="78" r:id="rId3"/>
    <sheet name="PROD-1Yr" sheetId="54" r:id="rId4"/>
    <sheet name="PROD-2Yr" sheetId="70" r:id="rId5"/>
    <sheet name="PROD-3Yr" sheetId="71" r:id="rId6"/>
    <sheet name="PROD-4Yr" sheetId="72" r:id="rId7"/>
    <sheet name="PROD-5Yr" sheetId="73" r:id="rId8"/>
    <sheet name="DR" sheetId="74" r:id="rId9"/>
    <sheet name="PRE-PROD" sheetId="75" r:id="rId10"/>
    <sheet name="UAT" sheetId="76" r:id="rId11"/>
    <sheet name="SIT" sheetId="77" r:id="rId12"/>
  </sheets>
  <definedNames>
    <definedName name="DataMgtFlag">#REF!</definedName>
    <definedName name="Display_Week">#REF!</definedName>
    <definedName name="EstimateType">#REF!</definedName>
    <definedName name="Group">#REF!</definedName>
    <definedName name="High">1.25</definedName>
    <definedName name="Low">1.1</definedName>
    <definedName name="Medium">1.15</definedName>
    <definedName name="Phase">#REF!</definedName>
    <definedName name="Project_Start">#REF!</definedName>
    <definedName name="ProjMgmtFlag">#REF!</definedName>
    <definedName name="Role" comment="Select a role">#REF!</definedName>
    <definedName name="Technology">#REF!</definedName>
    <definedName name="YesNo">#REF!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1" i="73" l="1"/>
  <c r="L18" i="73"/>
  <c r="L21" i="72"/>
  <c r="G21" i="72"/>
  <c r="J21" i="72" s="1"/>
  <c r="L18" i="72"/>
  <c r="L21" i="71"/>
  <c r="G21" i="71"/>
  <c r="J21" i="71" s="1"/>
  <c r="L18" i="71"/>
  <c r="L21" i="70"/>
  <c r="L18" i="70"/>
  <c r="I27" i="70"/>
  <c r="I12" i="70" s="1"/>
  <c r="L31" i="70"/>
  <c r="L18" i="54"/>
  <c r="L21" i="54"/>
  <c r="D7" i="78"/>
  <c r="E7" i="78"/>
  <c r="F7" i="78"/>
  <c r="G7" i="78"/>
  <c r="C7" i="78"/>
  <c r="I27" i="73"/>
  <c r="I20" i="74" s="1"/>
  <c r="I27" i="72"/>
  <c r="I26" i="54"/>
  <c r="I20" i="75" s="1"/>
  <c r="I17" i="73"/>
  <c r="I17" i="74" s="1"/>
  <c r="I17" i="72"/>
  <c r="I23" i="72" s="1"/>
  <c r="L23" i="72" s="1"/>
  <c r="I17" i="71"/>
  <c r="I23" i="71" s="1"/>
  <c r="L23" i="71" s="1"/>
  <c r="I17" i="70"/>
  <c r="I23" i="70" s="1"/>
  <c r="L23" i="70" s="1"/>
  <c r="G15" i="73"/>
  <c r="G15" i="74" s="1"/>
  <c r="G15" i="72"/>
  <c r="G15" i="70"/>
  <c r="G21" i="70" s="1"/>
  <c r="G15" i="54"/>
  <c r="G21" i="54" s="1"/>
  <c r="D8" i="73"/>
  <c r="D8" i="74" s="1"/>
  <c r="D8" i="72"/>
  <c r="D8" i="71"/>
  <c r="D8" i="70"/>
  <c r="D8" i="54"/>
  <c r="I27" i="71"/>
  <c r="I17" i="54"/>
  <c r="I17" i="75" s="1"/>
  <c r="G15" i="71"/>
  <c r="G21" i="73" l="1"/>
  <c r="I23" i="73"/>
  <c r="L23" i="73" s="1"/>
  <c r="H21" i="72"/>
  <c r="K21" i="72" s="1"/>
  <c r="H21" i="71"/>
  <c r="K21" i="71" s="1"/>
  <c r="J21" i="70"/>
  <c r="H21" i="70"/>
  <c r="K21" i="70" s="1"/>
  <c r="L27" i="70"/>
  <c r="H21" i="54"/>
  <c r="K21" i="54" s="1"/>
  <c r="J21" i="54"/>
  <c r="I23" i="54"/>
  <c r="L23" i="54" s="1"/>
  <c r="I12" i="71"/>
  <c r="I12" i="74"/>
  <c r="L12" i="74" s="1"/>
  <c r="I12" i="73"/>
  <c r="I12" i="72"/>
  <c r="I12" i="54"/>
  <c r="L26" i="77"/>
  <c r="L24" i="77"/>
  <c r="L20" i="77"/>
  <c r="L17" i="77"/>
  <c r="L15" i="77"/>
  <c r="J15" i="77"/>
  <c r="H15" i="77"/>
  <c r="K15" i="77" s="1"/>
  <c r="I12" i="77"/>
  <c r="L12" i="77" s="1"/>
  <c r="L11" i="77"/>
  <c r="K11" i="77"/>
  <c r="J11" i="77"/>
  <c r="L8" i="77"/>
  <c r="K8" i="77"/>
  <c r="J8" i="77"/>
  <c r="L7" i="77"/>
  <c r="K7" i="77"/>
  <c r="J7" i="77"/>
  <c r="L6" i="77"/>
  <c r="K6" i="77"/>
  <c r="J6" i="77"/>
  <c r="L5" i="77"/>
  <c r="K5" i="77"/>
  <c r="J5" i="77"/>
  <c r="L26" i="76"/>
  <c r="L24" i="76"/>
  <c r="L20" i="76"/>
  <c r="L17" i="76"/>
  <c r="L15" i="76"/>
  <c r="J15" i="76"/>
  <c r="H15" i="76"/>
  <c r="K15" i="76" s="1"/>
  <c r="I12" i="76"/>
  <c r="L12" i="76" s="1"/>
  <c r="L11" i="76"/>
  <c r="K11" i="76"/>
  <c r="J11" i="76"/>
  <c r="L8" i="76"/>
  <c r="K8" i="76"/>
  <c r="J8" i="76"/>
  <c r="L7" i="76"/>
  <c r="K7" i="76"/>
  <c r="J7" i="76"/>
  <c r="L6" i="76"/>
  <c r="K6" i="76"/>
  <c r="J6" i="76"/>
  <c r="L5" i="76"/>
  <c r="K5" i="76"/>
  <c r="J5" i="76"/>
  <c r="L26" i="75"/>
  <c r="L24" i="75"/>
  <c r="L20" i="75"/>
  <c r="L17" i="75"/>
  <c r="L15" i="75"/>
  <c r="J15" i="75"/>
  <c r="H15" i="75"/>
  <c r="K15" i="75" s="1"/>
  <c r="I12" i="75"/>
  <c r="L12" i="75" s="1"/>
  <c r="L11" i="75"/>
  <c r="K11" i="75"/>
  <c r="J11" i="75"/>
  <c r="L8" i="75"/>
  <c r="K8" i="75"/>
  <c r="J8" i="75"/>
  <c r="L7" i="75"/>
  <c r="K7" i="75"/>
  <c r="J7" i="75"/>
  <c r="L6" i="75"/>
  <c r="K6" i="75"/>
  <c r="J6" i="75"/>
  <c r="L5" i="75"/>
  <c r="K5" i="75"/>
  <c r="J5" i="75"/>
  <c r="L26" i="74"/>
  <c r="L24" i="74"/>
  <c r="L20" i="74"/>
  <c r="L17" i="74"/>
  <c r="L15" i="74"/>
  <c r="J15" i="74"/>
  <c r="H15" i="74"/>
  <c r="K15" i="74" s="1"/>
  <c r="L11" i="74"/>
  <c r="K11" i="74"/>
  <c r="J11" i="74"/>
  <c r="L8" i="74"/>
  <c r="K8" i="74"/>
  <c r="J8" i="74"/>
  <c r="L7" i="74"/>
  <c r="K7" i="74"/>
  <c r="J7" i="74"/>
  <c r="L6" i="74"/>
  <c r="K6" i="74"/>
  <c r="J6" i="74"/>
  <c r="L5" i="74"/>
  <c r="K5" i="74"/>
  <c r="J5" i="74"/>
  <c r="J21" i="73" l="1"/>
  <c r="H21" i="73"/>
  <c r="K21" i="73" s="1"/>
  <c r="L33" i="73"/>
  <c r="L31" i="73"/>
  <c r="L27" i="73"/>
  <c r="L17" i="73"/>
  <c r="L15" i="73"/>
  <c r="J15" i="73"/>
  <c r="H15" i="73"/>
  <c r="K15" i="73" s="1"/>
  <c r="L12" i="73"/>
  <c r="L11" i="73"/>
  <c r="K11" i="73"/>
  <c r="J11" i="73"/>
  <c r="L8" i="73"/>
  <c r="K8" i="73"/>
  <c r="J8" i="73"/>
  <c r="L7" i="73"/>
  <c r="K7" i="73"/>
  <c r="J7" i="73"/>
  <c r="L6" i="73"/>
  <c r="K6" i="73"/>
  <c r="J6" i="73"/>
  <c r="L5" i="73"/>
  <c r="K5" i="73"/>
  <c r="J5" i="73"/>
  <c r="L33" i="72"/>
  <c r="L31" i="72"/>
  <c r="L27" i="72"/>
  <c r="L17" i="72"/>
  <c r="L15" i="72"/>
  <c r="J15" i="72"/>
  <c r="H15" i="72"/>
  <c r="K15" i="72" s="1"/>
  <c r="L12" i="72"/>
  <c r="L11" i="72"/>
  <c r="K11" i="72"/>
  <c r="J11" i="72"/>
  <c r="L8" i="72"/>
  <c r="K8" i="72"/>
  <c r="J8" i="72"/>
  <c r="L7" i="72"/>
  <c r="K7" i="72"/>
  <c r="J7" i="72"/>
  <c r="L6" i="72"/>
  <c r="K6" i="72"/>
  <c r="J6" i="72"/>
  <c r="L5" i="72"/>
  <c r="K5" i="72"/>
  <c r="J5" i="72"/>
  <c r="L33" i="71"/>
  <c r="L31" i="71"/>
  <c r="L27" i="71"/>
  <c r="L17" i="71"/>
  <c r="L15" i="71"/>
  <c r="J15" i="71"/>
  <c r="H15" i="71"/>
  <c r="K15" i="71" s="1"/>
  <c r="L12" i="71"/>
  <c r="L11" i="71"/>
  <c r="K11" i="71"/>
  <c r="J11" i="71"/>
  <c r="L8" i="71"/>
  <c r="K8" i="71"/>
  <c r="J8" i="71"/>
  <c r="L7" i="71"/>
  <c r="K7" i="71"/>
  <c r="J7" i="71"/>
  <c r="L6" i="71"/>
  <c r="K6" i="71"/>
  <c r="J6" i="71"/>
  <c r="L5" i="71"/>
  <c r="K5" i="71"/>
  <c r="J5" i="71"/>
  <c r="L33" i="70"/>
  <c r="L17" i="70"/>
  <c r="L15" i="70"/>
  <c r="J15" i="70"/>
  <c r="H15" i="70"/>
  <c r="K15" i="70" s="1"/>
  <c r="L12" i="70"/>
  <c r="L11" i="70"/>
  <c r="K11" i="70"/>
  <c r="J11" i="70"/>
  <c r="L8" i="70"/>
  <c r="K8" i="70"/>
  <c r="J8" i="70"/>
  <c r="L7" i="70"/>
  <c r="K7" i="70"/>
  <c r="J7" i="70"/>
  <c r="L6" i="70"/>
  <c r="K6" i="70"/>
  <c r="J6" i="70"/>
  <c r="L5" i="70"/>
  <c r="K5" i="70"/>
  <c r="J5" i="70"/>
  <c r="L30" i="54"/>
  <c r="L32" i="54"/>
  <c r="H15" i="54"/>
  <c r="L12" i="54"/>
  <c r="L26" i="54"/>
  <c r="L11" i="54" l="1"/>
  <c r="K11" i="54"/>
  <c r="J11" i="54"/>
  <c r="L17" i="54" l="1"/>
  <c r="L8" i="54" l="1"/>
  <c r="L7" i="54" l="1"/>
  <c r="K7" i="54"/>
  <c r="J7" i="54"/>
  <c r="L6" i="54"/>
  <c r="K6" i="54"/>
  <c r="J6" i="54"/>
  <c r="L5" i="54"/>
  <c r="K5" i="54"/>
  <c r="J5" i="54"/>
  <c r="J8" i="54"/>
  <c r="K8" i="54"/>
  <c r="L15" i="54"/>
  <c r="K15" i="54"/>
  <c r="J15" i="54"/>
</calcChain>
</file>

<file path=xl/sharedStrings.xml><?xml version="1.0" encoding="utf-8"?>
<sst xmlns="http://schemas.openxmlformats.org/spreadsheetml/2006/main" count="597" uniqueCount="135">
  <si>
    <t>SN</t>
  </si>
  <si>
    <t xml:space="preserve">Particulars for sizing  </t>
  </si>
  <si>
    <t>Y1 (Current Year)</t>
  </si>
  <si>
    <t>Y2</t>
  </si>
  <si>
    <t>Y3</t>
  </si>
  <si>
    <t>Y4</t>
  </si>
  <si>
    <t>Y5</t>
  </si>
  <si>
    <t>YoY Growth %</t>
  </si>
  <si>
    <t>Comments, if any</t>
  </si>
  <si>
    <t>CRMNEXT</t>
  </si>
  <si>
    <t>Total Number of Named Users / Operators</t>
  </si>
  <si>
    <t>Number of concurrent users</t>
  </si>
  <si>
    <t>kindly mention %</t>
  </si>
  <si>
    <t>Number of Mobile Users / Operators (Sales force)</t>
  </si>
  <si>
    <t>Number of Leads - Accounts</t>
  </si>
  <si>
    <t xml:space="preserve">Number of Leads - Loans </t>
  </si>
  <si>
    <t xml:space="preserve">Number of Account Applications </t>
  </si>
  <si>
    <t xml:space="preserve">Number of Loan Applications </t>
  </si>
  <si>
    <t>Number of Customers (Individual)</t>
  </si>
  <si>
    <t>Number of Product Holdings per customer</t>
  </si>
  <si>
    <t>Number of Activities (meetings/ calls/ emails) per Lead / Applications</t>
  </si>
  <si>
    <t>Number of Cases/Service Requests (Inbound/ Outbound/ emails) per customer</t>
  </si>
  <si>
    <t>Number of Activities (meetings/ calls/ emails) per Case</t>
  </si>
  <si>
    <t>Number of Delinquent applications (collections)</t>
  </si>
  <si>
    <t>Number of Activities (meetings/ calls/ emails) per Delinquent applications</t>
  </si>
  <si>
    <t>Number of Campaigns per year</t>
  </si>
  <si>
    <t>Number of Activities (meetings/ calls/ emails) per Campaign</t>
  </si>
  <si>
    <t>?</t>
  </si>
  <si>
    <t>Number of Offers per Customer</t>
  </si>
  <si>
    <t xml:space="preserve">Number of API calls </t>
  </si>
  <si>
    <t>Please share Purging policy percentage for volume data at the end of each year</t>
  </si>
  <si>
    <t>NA</t>
  </si>
  <si>
    <t>What are the environments you require?
(e.g.: Production, SIT, UAT)</t>
  </si>
  <si>
    <t xml:space="preserve">Dev, UAT and </t>
  </si>
  <si>
    <t>Sl No.</t>
  </si>
  <si>
    <t>Sandbox Required</t>
  </si>
  <si>
    <t>Yes/No</t>
  </si>
  <si>
    <t>Production</t>
  </si>
  <si>
    <t>No</t>
  </si>
  <si>
    <t>UAT</t>
  </si>
  <si>
    <t>Yes</t>
  </si>
  <si>
    <t>SIT</t>
  </si>
  <si>
    <t>Any Other, if any</t>
  </si>
  <si>
    <t>Environment software prerequisites</t>
  </si>
  <si>
    <t>Software</t>
  </si>
  <si>
    <t>Version</t>
  </si>
  <si>
    <t>Type</t>
  </si>
  <si>
    <t>Openshift</t>
  </si>
  <si>
    <t>Enterprise containerization Management</t>
  </si>
  <si>
    <t>Licensed</t>
  </si>
  <si>
    <t>Image Registry</t>
  </si>
  <si>
    <t> As per enterprise</t>
  </si>
  <si>
    <t>Docker image management</t>
  </si>
  <si>
    <t>OS for Worker Nodes</t>
  </si>
  <si>
    <t>RHEL</t>
  </si>
  <si>
    <t>Operating System</t>
  </si>
  <si>
    <t>OS for DB</t>
  </si>
  <si>
    <t>Windows</t>
  </si>
  <si>
    <t>Database Server</t>
  </si>
  <si>
    <t>MSSQL Ent Ed.</t>
  </si>
  <si>
    <t>Database</t>
  </si>
  <si>
    <t>DMS Storage</t>
  </si>
  <si>
    <t>NFS</t>
  </si>
  <si>
    <t>Storage</t>
  </si>
  <si>
    <t>Opensource/Licensed</t>
  </si>
  <si>
    <t>Caching Service</t>
  </si>
  <si>
    <t>Redis</t>
  </si>
  <si>
    <t>Cache</t>
  </si>
  <si>
    <t>HTTPS certificate</t>
  </si>
  <si>
    <t>SSL Certificate</t>
  </si>
  <si>
    <t>Year &gt;</t>
  </si>
  <si>
    <t>1st</t>
  </si>
  <si>
    <t>2nd</t>
  </si>
  <si>
    <t>3rd</t>
  </si>
  <si>
    <t>4th</t>
  </si>
  <si>
    <t>5th</t>
  </si>
  <si>
    <t>CRMNEXT App Servers</t>
  </si>
  <si>
    <t>Total App Servers (8 Phy. Cores/16vCPU, 32GB RAM Each)</t>
  </si>
  <si>
    <t>CRMNEXT Database Server</t>
  </si>
  <si>
    <t>Total cores Required</t>
  </si>
  <si>
    <t>Total vCPUs Required</t>
  </si>
  <si>
    <t>Volumes</t>
  </si>
  <si>
    <t>Data size (GB)</t>
  </si>
  <si>
    <t>DMS size (GB)</t>
  </si>
  <si>
    <t>PROD Environment On Premise</t>
  </si>
  <si>
    <t>S.N.</t>
  </si>
  <si>
    <t>Services/Instances</t>
  </si>
  <si>
    <t>Nodes</t>
  </si>
  <si>
    <t>Instance Type</t>
  </si>
  <si>
    <t>Remarks</t>
  </si>
  <si>
    <t>Per Node
CPU cores</t>
  </si>
  <si>
    <t>Per Node 
RAM</t>
  </si>
  <si>
    <t>Per Node 
Storage (GB)</t>
  </si>
  <si>
    <t>Total 
CPU cores</t>
  </si>
  <si>
    <t>Total 
RAM
(GB)</t>
  </si>
  <si>
    <r>
      <t>Total 
Storage
(TB</t>
    </r>
    <r>
      <rPr>
        <b/>
        <sz val="11"/>
        <color theme="0"/>
        <rFont val="Calibri"/>
        <family val="2"/>
      </rPr>
      <t>)</t>
    </r>
  </si>
  <si>
    <t>OpenShift Cluster</t>
  </si>
  <si>
    <t>Bootstrap machine</t>
  </si>
  <si>
    <t>Memory Intensive</t>
  </si>
  <si>
    <t>OpenShift vendor to confirm on sizing.</t>
  </si>
  <si>
    <t>Bastion Host</t>
  </si>
  <si>
    <t>Master Nodes</t>
  </si>
  <si>
    <t>Compute Intensive</t>
  </si>
  <si>
    <t>Linux Worker Nodes (BUSINESSNEXT)</t>
  </si>
  <si>
    <t>Operational Services</t>
  </si>
  <si>
    <t>Infra Nodes (Grafana &amp; Prometheus, EFK, Redis)</t>
  </si>
  <si>
    <t>NFS Storage</t>
  </si>
  <si>
    <t>MSSQL Enterprise Database</t>
  </si>
  <si>
    <t>Windows Nodes</t>
  </si>
  <si>
    <t>SQL License</t>
  </si>
  <si>
    <t>Storage: SAN</t>
  </si>
  <si>
    <t>20K IOPS</t>
  </si>
  <si>
    <t>Storage: SAN (Archival)</t>
  </si>
  <si>
    <t>As per current archival database size</t>
  </si>
  <si>
    <t>MSSQL Enterprise Database - Reporting</t>
  </si>
  <si>
    <t>DMS</t>
  </si>
  <si>
    <t>To be consumed from main NFS storage</t>
  </si>
  <si>
    <t>Will be based on the number of documents provided, Considering per document size per Service Request of 512KB Each.</t>
  </si>
  <si>
    <t>Infrastructure &amp; Monitoring</t>
  </si>
  <si>
    <t>SSL</t>
  </si>
  <si>
    <t>Provided by Bank</t>
  </si>
  <si>
    <t>For Containers docker images</t>
  </si>
  <si>
    <t>Web Application Firewall (WAF)</t>
  </si>
  <si>
    <t>As per banks security policy.</t>
  </si>
  <si>
    <t>As per banks policy.</t>
  </si>
  <si>
    <t>Email Service</t>
  </si>
  <si>
    <t>Two million mails/month</t>
  </si>
  <si>
    <t>Back Up - DB</t>
  </si>
  <si>
    <t>As per banks retention policy. Backup solution can be used.</t>
  </si>
  <si>
    <t>Infra Nodes (Graphana &amp; Prometheus, EFK, Redis)</t>
  </si>
  <si>
    <t>DR Environment On Premise</t>
  </si>
  <si>
    <t>PRE-PROD Environment On Premise</t>
  </si>
  <si>
    <t>5K IOPS</t>
  </si>
  <si>
    <t>UAT Environment On Premise</t>
  </si>
  <si>
    <t>SIT Environment On Premise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</si>
</sst>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_ * #,##0_ ;_ * \-#,##0_ ;_ * &quot;-&quot;??_ ;_ @_ "/>
    <numFmt numFmtId="166" formatCode="0.0&quot; TB&quot;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0"/>
      <color theme="1"/>
      <name val="Calibri"/>
      <family val="2"/>
    </font>
    <font>
      <b/>
      <sz val="10"/>
      <color rgb="FF000000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Verdana"/>
      <family val="2"/>
    </font>
    <font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FF0000"/>
      <name val="Verdana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sz val="10"/>
      <color rgb="FF000000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sz val="18"/>
      <color indexed="54"/>
      <name val="Calibri Light"/>
      <family val="2"/>
    </font>
    <font>
      <b/>
      <sz val="11"/>
      <color indexed="52"/>
      <name val="Calibri"/>
      <family val="2"/>
    </font>
    <font>
      <b/>
      <sz val="11"/>
      <color indexed="54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60"/>
      <name val="Calibri"/>
      <family val="2"/>
    </font>
    <font>
      <b/>
      <sz val="15"/>
      <color indexed="54"/>
      <name val="Calibri"/>
      <family val="2"/>
    </font>
    <font>
      <i/>
      <sz val="11"/>
      <color indexed="23"/>
      <name val="Calibri"/>
      <family val="2"/>
    </font>
    <font>
      <sz val="11"/>
      <color indexed="52"/>
      <name val="Calibri"/>
      <family val="2"/>
    </font>
    <font>
      <b/>
      <sz val="13"/>
      <color indexed="54"/>
      <name val="Calibri"/>
      <family val="2"/>
    </font>
    <font>
      <b/>
      <sz val="11"/>
      <color theme="1"/>
      <name val="Arial"/>
      <family val="2"/>
    </font>
    <font>
      <sz val="9"/>
      <color theme="1"/>
      <name val="Segoe UI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charset val="134"/>
      <scheme val="minor"/>
    </font>
    <font>
      <sz val="11"/>
      <color indexed="8"/>
      <name val="Calibri"/>
      <charset val="134"/>
    </font>
    <font>
      <sz val="11"/>
      <color theme="0"/>
      <name val="Calibri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rgb="FF0070C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E2B7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9B9D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double">
        <color theme="0" tint="-0.249977111117893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 style="double">
        <color theme="0" tint="-0.249977111117893"/>
      </left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7">
    <xf numFmtId="0" fontId="0" fillId="0" borderId="0"/>
    <xf numFmtId="0" fontId="14" fillId="0" borderId="0">
      <alignment vertical="center"/>
    </xf>
    <xf numFmtId="0" fontId="16" fillId="3" borderId="0" applyNumberFormat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0" fontId="21" fillId="0" borderId="0">
      <alignment vertical="center"/>
    </xf>
    <xf numFmtId="0" fontId="24" fillId="9" borderId="0" applyNumberFormat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8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1" borderId="0" applyNumberFormat="0" applyBorder="0" applyAlignment="0" applyProtection="0"/>
    <xf numFmtId="0" fontId="14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5" borderId="0" applyNumberFormat="0" applyBorder="0" applyAlignment="0" applyProtection="0"/>
    <xf numFmtId="0" fontId="14" fillId="17" borderId="0" applyNumberFormat="0" applyBorder="0" applyAlignment="0" applyProtection="0"/>
    <xf numFmtId="0" fontId="24" fillId="15" borderId="0" applyNumberFormat="0" applyBorder="0" applyAlignment="0" applyProtection="0"/>
    <xf numFmtId="0" fontId="24" fillId="11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9" borderId="0" applyNumberFormat="0" applyBorder="0" applyAlignment="0" applyProtection="0"/>
    <xf numFmtId="0" fontId="24" fillId="18" borderId="0" applyNumberFormat="0" applyBorder="0" applyAlignment="0" applyProtection="0"/>
    <xf numFmtId="0" fontId="24" fillId="19" borderId="0" applyNumberFormat="0" applyBorder="0" applyAlignment="0" applyProtection="0"/>
    <xf numFmtId="0" fontId="24" fillId="20" borderId="0" applyNumberFormat="0" applyBorder="0" applyAlignment="0" applyProtection="0"/>
    <xf numFmtId="0" fontId="24" fillId="21" borderId="0" applyNumberFormat="0" applyBorder="0" applyAlignment="0" applyProtection="0"/>
    <xf numFmtId="0" fontId="24" fillId="22" borderId="0" applyNumberFormat="0" applyBorder="0" applyAlignment="0" applyProtection="0"/>
    <xf numFmtId="0" fontId="24" fillId="18" borderId="0" applyNumberFormat="0" applyBorder="0" applyAlignment="0" applyProtection="0"/>
    <xf numFmtId="0" fontId="27" fillId="23" borderId="0" applyNumberFormat="0" applyBorder="0" applyAlignment="0" applyProtection="0"/>
    <xf numFmtId="0" fontId="29" fillId="16" borderId="3" applyNumberFormat="0" applyAlignment="0" applyProtection="0"/>
    <xf numFmtId="0" fontId="32" fillId="20" borderId="4" applyNumberFormat="0" applyAlignment="0" applyProtection="0"/>
    <xf numFmtId="0" fontId="36" fillId="0" borderId="0" applyNumberFormat="0" applyFill="0" applyBorder="0" applyAlignment="0" applyProtection="0"/>
    <xf numFmtId="0" fontId="25" fillId="14" borderId="0" applyNumberFormat="0" applyBorder="0" applyAlignment="0" applyProtection="0"/>
    <xf numFmtId="0" fontId="35" fillId="0" borderId="5" applyNumberFormat="0" applyFill="0" applyAlignment="0" applyProtection="0"/>
    <xf numFmtId="0" fontId="38" fillId="0" borderId="6" applyNumberFormat="0" applyFill="0" applyAlignment="0" applyProtection="0"/>
    <xf numFmtId="0" fontId="30" fillId="0" borderId="7" applyNumberFormat="0" applyFill="0" applyAlignment="0" applyProtection="0"/>
    <xf numFmtId="0" fontId="30" fillId="0" borderId="0" applyNumberFormat="0" applyFill="0" applyBorder="0" applyAlignment="0" applyProtection="0"/>
    <xf numFmtId="0" fontId="31" fillId="11" borderId="3" applyNumberFormat="0" applyAlignment="0" applyProtection="0"/>
    <xf numFmtId="0" fontId="37" fillId="0" borderId="8" applyNumberFormat="0" applyFill="0" applyAlignment="0" applyProtection="0"/>
    <xf numFmtId="0" fontId="34" fillId="17" borderId="0" applyNumberFormat="0" applyBorder="0" applyAlignment="0" applyProtection="0"/>
    <xf numFmtId="0" fontId="21" fillId="12" borderId="9" applyNumberFormat="0" applyFont="0" applyAlignment="0" applyProtection="0"/>
    <xf numFmtId="0" fontId="22" fillId="16" borderId="10" applyNumberFormat="0" applyAlignment="0" applyProtection="0"/>
    <xf numFmtId="0" fontId="28" fillId="0" borderId="0" applyNumberFormat="0" applyFill="0" applyBorder="0" applyAlignment="0" applyProtection="0"/>
    <xf numFmtId="0" fontId="33" fillId="0" borderId="11" applyNumberFormat="0" applyFill="0" applyAlignment="0" applyProtection="0"/>
    <xf numFmtId="0" fontId="26" fillId="0" borderId="0" applyNumberFormat="0" applyFill="0" applyBorder="0" applyAlignment="0" applyProtection="0"/>
    <xf numFmtId="0" fontId="21" fillId="0" borderId="0">
      <alignment vertical="center"/>
    </xf>
    <xf numFmtId="0" fontId="43" fillId="0" borderId="0" applyNumberFormat="0" applyFill="0" applyBorder="0" applyAlignment="0" applyProtection="0"/>
    <xf numFmtId="0" fontId="44" fillId="0" borderId="0"/>
    <xf numFmtId="0" fontId="45" fillId="3" borderId="0" applyNumberFormat="0" applyBorder="0" applyAlignment="0" applyProtection="0"/>
    <xf numFmtId="0" fontId="46" fillId="0" borderId="0"/>
    <xf numFmtId="0" fontId="47" fillId="0" borderId="0">
      <alignment vertical="center"/>
    </xf>
    <xf numFmtId="0" fontId="46" fillId="0" borderId="0"/>
    <xf numFmtId="0" fontId="48" fillId="25" borderId="0" applyNumberFormat="0" applyBorder="0" applyAlignment="0" applyProtection="0"/>
  </cellStyleXfs>
  <cellXfs count="132">
    <xf numFmtId="0" fontId="0" fillId="0" borderId="0" xfId="0"/>
    <xf numFmtId="0" fontId="3" fillId="0" borderId="0" xfId="0" applyFont="1" applyAlignment="1">
      <alignment horizontal="right"/>
    </xf>
    <xf numFmtId="1" fontId="0" fillId="0" borderId="0" xfId="0" applyNumberFormat="1"/>
    <xf numFmtId="0" fontId="3" fillId="0" borderId="0" xfId="0" applyFont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1" fillId="0" borderId="1" xfId="0" applyFont="1" applyBorder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0" fillId="2" borderId="0" xfId="0" applyFill="1" applyAlignment="1">
      <alignment wrapText="1"/>
    </xf>
    <xf numFmtId="0" fontId="0" fillId="2" borderId="0" xfId="0" applyFill="1"/>
    <xf numFmtId="0" fontId="0" fillId="0" borderId="2" xfId="0" applyBorder="1" applyAlignment="1">
      <alignment wrapText="1"/>
    </xf>
    <xf numFmtId="0" fontId="13" fillId="2" borderId="0" xfId="3" applyFill="1"/>
    <xf numFmtId="0" fontId="13" fillId="2" borderId="0" xfId="3" applyFill="1" applyAlignment="1">
      <alignment horizontal="center" vertical="center" wrapText="1"/>
    </xf>
    <xf numFmtId="0" fontId="3" fillId="0" borderId="0" xfId="0" applyFont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9" fillId="0" borderId="2" xfId="0" applyFont="1" applyBorder="1" applyAlignment="1">
      <alignment horizontal="left" vertical="center" wrapText="1"/>
    </xf>
    <xf numFmtId="0" fontId="1" fillId="2" borderId="1" xfId="0" applyFont="1" applyFill="1" applyBorder="1"/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3" fillId="0" borderId="0" xfId="50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left" vertical="top"/>
    </xf>
    <xf numFmtId="0" fontId="10" fillId="2" borderId="13" xfId="0" applyFont="1" applyFill="1" applyBorder="1" applyAlignment="1">
      <alignment horizontal="left" vertical="center" wrapText="1"/>
    </xf>
    <xf numFmtId="0" fontId="11" fillId="2" borderId="13" xfId="0" applyFont="1" applyFill="1" applyBorder="1" applyAlignment="1">
      <alignment horizontal="center" vertical="center" wrapText="1"/>
    </xf>
    <xf numFmtId="0" fontId="12" fillId="2" borderId="13" xfId="0" applyFont="1" applyFill="1" applyBorder="1" applyAlignment="1">
      <alignment horizontal="left" vertical="center" wrapText="1"/>
    </xf>
    <xf numFmtId="0" fontId="23" fillId="2" borderId="13" xfId="0" applyFont="1" applyFill="1" applyBorder="1" applyAlignment="1">
      <alignment horizontal="center" vertical="center" wrapText="1"/>
    </xf>
    <xf numFmtId="0" fontId="12" fillId="2" borderId="13" xfId="0" applyFont="1" applyFill="1" applyBorder="1" applyAlignment="1">
      <alignment horizontal="center" vertical="center" wrapText="1"/>
    </xf>
    <xf numFmtId="2" fontId="23" fillId="2" borderId="13" xfId="0" applyNumberFormat="1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wrapText="1"/>
    </xf>
    <xf numFmtId="0" fontId="39" fillId="0" borderId="0" xfId="0" applyFont="1" applyAlignment="1">
      <alignment vertical="center" wrapText="1"/>
    </xf>
    <xf numFmtId="0" fontId="6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 wrapText="1"/>
    </xf>
    <xf numFmtId="0" fontId="6" fillId="0" borderId="18" xfId="0" applyFont="1" applyBorder="1" applyAlignment="1">
      <alignment horizontal="left" vertical="center"/>
    </xf>
    <xf numFmtId="0" fontId="0" fillId="0" borderId="19" xfId="0" applyBorder="1"/>
    <xf numFmtId="0" fontId="6" fillId="0" borderId="20" xfId="0" applyFont="1" applyBorder="1" applyAlignment="1">
      <alignment horizontal="left" vertical="center"/>
    </xf>
    <xf numFmtId="0" fontId="4" fillId="24" borderId="19" xfId="0" applyFont="1" applyFill="1" applyBorder="1" applyAlignment="1">
      <alignment horizontal="center" vertical="center" wrapText="1"/>
    </xf>
    <xf numFmtId="0" fontId="0" fillId="0" borderId="19" xfId="0" applyBorder="1" applyAlignment="1">
      <alignment wrapText="1"/>
    </xf>
    <xf numFmtId="0" fontId="3" fillId="2" borderId="22" xfId="0" applyFont="1" applyFill="1" applyBorder="1"/>
    <xf numFmtId="0" fontId="0" fillId="0" borderId="22" xfId="0" applyBorder="1"/>
    <xf numFmtId="0" fontId="0" fillId="2" borderId="22" xfId="0" applyFill="1" applyBorder="1"/>
    <xf numFmtId="0" fontId="0" fillId="2" borderId="18" xfId="0" applyFill="1" applyBorder="1"/>
    <xf numFmtId="1" fontId="0" fillId="2" borderId="1" xfId="0" applyNumberFormat="1" applyFill="1" applyBorder="1" applyAlignment="1">
      <alignment horizontal="center" vertical="center"/>
    </xf>
    <xf numFmtId="1" fontId="0" fillId="2" borderId="21" xfId="0" applyNumberFormat="1" applyFill="1" applyBorder="1" applyAlignment="1">
      <alignment horizontal="center" vertical="center"/>
    </xf>
    <xf numFmtId="1" fontId="0" fillId="26" borderId="22" xfId="0" applyNumberForma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2" xfId="0" applyBorder="1" applyAlignment="1">
      <alignment horizontal="center" wrapText="1"/>
    </xf>
    <xf numFmtId="0" fontId="8" fillId="2" borderId="0" xfId="0" applyFont="1" applyFill="1" applyAlignment="1">
      <alignment horizontal="left" vertical="center"/>
    </xf>
    <xf numFmtId="0" fontId="9" fillId="2" borderId="2" xfId="0" applyFont="1" applyFill="1" applyBorder="1" applyAlignment="1">
      <alignment horizontal="left" vertical="center" wrapText="1"/>
    </xf>
    <xf numFmtId="0" fontId="0" fillId="2" borderId="2" xfId="0" applyFill="1" applyBorder="1" applyAlignment="1">
      <alignment wrapText="1"/>
    </xf>
    <xf numFmtId="0" fontId="0" fillId="2" borderId="19" xfId="0" applyFill="1" applyBorder="1"/>
    <xf numFmtId="0" fontId="7" fillId="2" borderId="1" xfId="0" applyFont="1" applyFill="1" applyBorder="1" applyAlignment="1">
      <alignment horizontal="left" vertical="center"/>
    </xf>
    <xf numFmtId="1" fontId="0" fillId="2" borderId="0" xfId="0" applyNumberFormat="1" applyFill="1"/>
    <xf numFmtId="0" fontId="0" fillId="2" borderId="2" xfId="0" applyFill="1" applyBorder="1" applyAlignment="1">
      <alignment horizontal="left" vertical="top" wrapText="1"/>
    </xf>
    <xf numFmtId="0" fontId="3" fillId="2" borderId="0" xfId="0" applyFont="1" applyFill="1" applyAlignment="1">
      <alignment horizontal="right"/>
    </xf>
    <xf numFmtId="1" fontId="0" fillId="2" borderId="15" xfId="0" applyNumberFormat="1" applyFill="1" applyBorder="1"/>
    <xf numFmtId="0" fontId="3" fillId="2" borderId="1" xfId="0" applyFont="1" applyFill="1" applyBorder="1" applyAlignment="1">
      <alignment horizontal="left" vertical="top"/>
    </xf>
    <xf numFmtId="0" fontId="17" fillId="5" borderId="22" xfId="2" applyFont="1" applyFill="1" applyBorder="1" applyAlignment="1">
      <alignment horizontal="center" vertical="center"/>
    </xf>
    <xf numFmtId="0" fontId="17" fillId="5" borderId="22" xfId="2" applyFont="1" applyFill="1" applyBorder="1" applyAlignment="1">
      <alignment vertical="center" wrapText="1"/>
    </xf>
    <xf numFmtId="0" fontId="17" fillId="5" borderId="22" xfId="2" applyFont="1" applyFill="1" applyBorder="1" applyAlignment="1">
      <alignment horizontal="center" vertical="center" wrapText="1"/>
    </xf>
    <xf numFmtId="0" fontId="17" fillId="5" borderId="22" xfId="2" applyFont="1" applyFill="1" applyBorder="1" applyAlignment="1">
      <alignment horizontal="center" wrapText="1"/>
    </xf>
    <xf numFmtId="0" fontId="18" fillId="2" borderId="22" xfId="3" applyFont="1" applyFill="1" applyBorder="1" applyAlignment="1">
      <alignment horizontal="center" vertical="center" wrapText="1"/>
    </xf>
    <xf numFmtId="0" fontId="18" fillId="2" borderId="22" xfId="3" applyFont="1" applyFill="1" applyBorder="1" applyAlignment="1">
      <alignment vertical="center" wrapText="1"/>
    </xf>
    <xf numFmtId="165" fontId="18" fillId="2" borderId="22" xfId="4" applyNumberFormat="1" applyFont="1" applyFill="1" applyBorder="1" applyAlignment="1">
      <alignment horizontal="left" vertical="center"/>
    </xf>
    <xf numFmtId="0" fontId="19" fillId="2" borderId="22" xfId="3" applyFont="1" applyFill="1" applyBorder="1" applyAlignment="1">
      <alignment vertical="center" wrapText="1"/>
    </xf>
    <xf numFmtId="9" fontId="18" fillId="2" borderId="22" xfId="4" applyNumberFormat="1" applyFont="1" applyFill="1" applyBorder="1" applyAlignment="1">
      <alignment horizontal="left" vertical="center"/>
    </xf>
    <xf numFmtId="165" fontId="20" fillId="2" borderId="22" xfId="4" applyNumberFormat="1" applyFont="1" applyFill="1" applyBorder="1" applyAlignment="1">
      <alignment horizontal="left" vertical="center"/>
    </xf>
    <xf numFmtId="9" fontId="18" fillId="2" borderId="22" xfId="3" applyNumberFormat="1" applyFont="1" applyFill="1" applyBorder="1" applyAlignment="1">
      <alignment horizontal="left" vertical="center" wrapText="1"/>
    </xf>
    <xf numFmtId="165" fontId="18" fillId="2" borderId="22" xfId="4" applyNumberFormat="1" applyFont="1" applyFill="1" applyBorder="1" applyAlignment="1">
      <alignment horizontal="center" vertical="center"/>
    </xf>
    <xf numFmtId="0" fontId="18" fillId="0" borderId="22" xfId="0" applyFont="1" applyBorder="1" applyAlignment="1">
      <alignment vertical="center" wrapText="1"/>
    </xf>
    <xf numFmtId="0" fontId="18" fillId="2" borderId="22" xfId="4" applyNumberFormat="1" applyFont="1" applyFill="1" applyBorder="1" applyAlignment="1">
      <alignment horizontal="center" vertical="center"/>
    </xf>
    <xf numFmtId="0" fontId="18" fillId="2" borderId="22" xfId="3" applyFont="1" applyFill="1" applyBorder="1" applyAlignment="1">
      <alignment horizontal="left" vertical="center" wrapText="1"/>
    </xf>
    <xf numFmtId="0" fontId="18" fillId="0" borderId="22" xfId="3" applyFont="1" applyBorder="1" applyAlignment="1">
      <alignment horizontal="center" vertical="center" wrapText="1"/>
    </xf>
    <xf numFmtId="0" fontId="18" fillId="0" borderId="22" xfId="3" applyFont="1" applyBorder="1" applyAlignment="1">
      <alignment vertical="center" wrapText="1"/>
    </xf>
    <xf numFmtId="0" fontId="18" fillId="0" borderId="22" xfId="4" applyNumberFormat="1" applyFont="1" applyFill="1" applyBorder="1" applyAlignment="1">
      <alignment horizontal="center" vertical="center"/>
    </xf>
    <xf numFmtId="165" fontId="18" fillId="0" borderId="22" xfId="4" applyNumberFormat="1" applyFont="1" applyFill="1" applyBorder="1" applyAlignment="1">
      <alignment horizontal="center" vertical="center"/>
    </xf>
    <xf numFmtId="0" fontId="18" fillId="0" borderId="22" xfId="3" applyFont="1" applyBorder="1" applyAlignment="1">
      <alignment horizontal="left" vertical="center" wrapText="1"/>
    </xf>
    <xf numFmtId="0" fontId="18" fillId="7" borderId="22" xfId="4" applyNumberFormat="1" applyFont="1" applyFill="1" applyBorder="1" applyAlignment="1">
      <alignment horizontal="center" vertical="center"/>
    </xf>
    <xf numFmtId="0" fontId="15" fillId="2" borderId="22" xfId="3" applyFont="1" applyFill="1" applyBorder="1" applyAlignment="1">
      <alignment horizontal="center" vertical="center"/>
    </xf>
    <xf numFmtId="1" fontId="15" fillId="2" borderId="22" xfId="3" applyNumberFormat="1" applyFont="1" applyFill="1" applyBorder="1" applyAlignment="1">
      <alignment horizontal="center" vertical="center"/>
    </xf>
    <xf numFmtId="1" fontId="15" fillId="2" borderId="22" xfId="3" applyNumberFormat="1" applyFont="1" applyFill="1" applyBorder="1" applyAlignment="1">
      <alignment vertical="center"/>
    </xf>
    <xf numFmtId="1" fontId="15" fillId="2" borderId="22" xfId="3" applyNumberFormat="1" applyFont="1" applyFill="1" applyBorder="1" applyAlignment="1">
      <alignment horizontal="left" vertical="center"/>
    </xf>
    <xf numFmtId="0" fontId="15" fillId="7" borderId="22" xfId="3" applyFont="1" applyFill="1" applyBorder="1" applyAlignment="1">
      <alignment horizontal="center" vertical="center"/>
    </xf>
    <xf numFmtId="0" fontId="18" fillId="2" borderId="22" xfId="3" applyFont="1" applyFill="1" applyBorder="1" applyAlignment="1">
      <alignment vertical="top" wrapText="1"/>
    </xf>
    <xf numFmtId="17" fontId="17" fillId="5" borderId="22" xfId="2" applyNumberFormat="1" applyFont="1" applyFill="1" applyBorder="1" applyAlignment="1">
      <alignment horizontal="center" vertical="center" wrapText="1"/>
    </xf>
    <xf numFmtId="0" fontId="18" fillId="2" borderId="22" xfId="3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2" xfId="0" applyFill="1" applyBorder="1" applyAlignment="1">
      <alignment wrapText="1"/>
    </xf>
    <xf numFmtId="0" fontId="9" fillId="2" borderId="22" xfId="0" applyFont="1" applyFill="1" applyBorder="1" applyAlignment="1">
      <alignment horizontal="left" vertical="center" wrapText="1"/>
    </xf>
    <xf numFmtId="166" fontId="0" fillId="2" borderId="22" xfId="0" applyNumberFormat="1" applyFill="1" applyBorder="1" applyAlignment="1">
      <alignment horizontal="center" vertical="center"/>
    </xf>
    <xf numFmtId="1" fontId="0" fillId="2" borderId="22" xfId="0" applyNumberFormat="1" applyFill="1" applyBorder="1" applyAlignment="1">
      <alignment horizontal="center" vertical="center"/>
    </xf>
    <xf numFmtId="0" fontId="1" fillId="2" borderId="22" xfId="0" applyFont="1" applyFill="1" applyBorder="1"/>
    <xf numFmtId="0" fontId="3" fillId="2" borderId="22" xfId="0" applyFont="1" applyFill="1" applyBorder="1" applyAlignment="1">
      <alignment wrapText="1"/>
    </xf>
    <xf numFmtId="0" fontId="3" fillId="2" borderId="22" xfId="0" applyFont="1" applyFill="1" applyBorder="1" applyAlignment="1">
      <alignment horizontal="left" wrapText="1"/>
    </xf>
    <xf numFmtId="0" fontId="3" fillId="2" borderId="22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top"/>
    </xf>
    <xf numFmtId="0" fontId="3" fillId="2" borderId="22" xfId="0" applyFont="1" applyFill="1" applyBorder="1" applyAlignment="1">
      <alignment horizontal="left" vertical="top" wrapText="1"/>
    </xf>
    <xf numFmtId="0" fontId="0" fillId="2" borderId="22" xfId="0" applyFill="1" applyBorder="1" applyAlignment="1">
      <alignment horizontal="center" vertical="center" wrapText="1"/>
    </xf>
    <xf numFmtId="0" fontId="6" fillId="0" borderId="22" xfId="0" applyFont="1" applyBorder="1" applyAlignment="1">
      <alignment horizontal="left" vertical="center"/>
    </xf>
    <xf numFmtId="0" fontId="6" fillId="0" borderId="22" xfId="0" applyFont="1" applyBorder="1" applyAlignment="1">
      <alignment horizontal="left" vertical="center" wrapText="1"/>
    </xf>
    <xf numFmtId="0" fontId="0" fillId="0" borderId="22" xfId="0" applyBorder="1" applyAlignment="1">
      <alignment wrapText="1"/>
    </xf>
    <xf numFmtId="0" fontId="9" fillId="0" borderId="22" xfId="0" applyFont="1" applyBorder="1" applyAlignment="1">
      <alignment horizontal="left" vertical="center" wrapText="1"/>
    </xf>
    <xf numFmtId="166" fontId="0" fillId="0" borderId="22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0" fontId="1" fillId="0" borderId="22" xfId="0" applyFont="1" applyBorder="1"/>
    <xf numFmtId="0" fontId="3" fillId="0" borderId="22" xfId="0" applyFont="1" applyBorder="1" applyAlignment="1">
      <alignment wrapText="1"/>
    </xf>
    <xf numFmtId="0" fontId="3" fillId="0" borderId="22" xfId="0" applyFont="1" applyBorder="1" applyAlignment="1">
      <alignment horizontal="left" wrapText="1"/>
    </xf>
    <xf numFmtId="0" fontId="3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top"/>
    </xf>
    <xf numFmtId="0" fontId="3" fillId="0" borderId="22" xfId="0" applyFont="1" applyBorder="1" applyAlignment="1">
      <alignment horizontal="left" vertical="top" wrapText="1"/>
    </xf>
    <xf numFmtId="1" fontId="0" fillId="0" borderId="22" xfId="0" applyNumberFormat="1" applyBorder="1"/>
    <xf numFmtId="0" fontId="0" fillId="0" borderId="22" xfId="0" applyBorder="1" applyAlignment="1">
      <alignment horizontal="center" vertical="center" wrapText="1"/>
    </xf>
    <xf numFmtId="0" fontId="4" fillId="24" borderId="20" xfId="0" applyFont="1" applyFill="1" applyBorder="1" applyAlignment="1">
      <alignment horizontal="center" vertical="center" wrapText="1"/>
    </xf>
    <xf numFmtId="0" fontId="4" fillId="24" borderId="19" xfId="0" applyFont="1" applyFill="1" applyBorder="1" applyAlignment="1">
      <alignment horizontal="center" vertical="center" wrapText="1"/>
    </xf>
    <xf numFmtId="0" fontId="4" fillId="4" borderId="1" xfId="3" applyFont="1" applyFill="1" applyBorder="1" applyAlignment="1">
      <alignment horizontal="left"/>
    </xf>
    <xf numFmtId="0" fontId="17" fillId="6" borderId="15" xfId="2" applyFont="1" applyFill="1" applyBorder="1" applyAlignment="1">
      <alignment horizontal="center" vertical="center"/>
    </xf>
    <xf numFmtId="0" fontId="17" fillId="6" borderId="16" xfId="2" applyFont="1" applyFill="1" applyBorder="1" applyAlignment="1">
      <alignment horizontal="center" vertical="center"/>
    </xf>
    <xf numFmtId="0" fontId="17" fillId="6" borderId="17" xfId="2" applyFont="1" applyFill="1" applyBorder="1" applyAlignment="1">
      <alignment horizontal="center" vertical="center"/>
    </xf>
    <xf numFmtId="0" fontId="15" fillId="2" borderId="22" xfId="3" applyFont="1" applyFill="1" applyBorder="1" applyAlignment="1">
      <alignment horizontal="left" vertical="top" wrapText="1"/>
    </xf>
    <xf numFmtId="9" fontId="18" fillId="2" borderId="22" xfId="3" applyNumberFormat="1" applyFont="1" applyFill="1" applyBorder="1" applyAlignment="1">
      <alignment horizontal="left" vertical="top" wrapText="1"/>
    </xf>
    <xf numFmtId="0" fontId="4" fillId="24" borderId="12" xfId="51" applyFont="1" applyFill="1" applyBorder="1" applyAlignment="1">
      <alignment horizontal="center" vertical="center" wrapText="1"/>
    </xf>
    <xf numFmtId="0" fontId="4" fillId="24" borderId="14" xfId="51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</cellXfs>
  <cellStyles count="57">
    <cellStyle name="20% - Accent1 2" xfId="9" xr:uid="{00000000-0005-0000-0000-000000000000}"/>
    <cellStyle name="20% - Accent2 2" xfId="10" xr:uid="{00000000-0005-0000-0000-000001000000}"/>
    <cellStyle name="20% - Accent3 2" xfId="11" xr:uid="{00000000-0005-0000-0000-000002000000}"/>
    <cellStyle name="20% - Accent4 2" xfId="12" xr:uid="{00000000-0005-0000-0000-000003000000}"/>
    <cellStyle name="20% - Accent5 2" xfId="13" xr:uid="{00000000-0005-0000-0000-000004000000}"/>
    <cellStyle name="20% - Accent6 2" xfId="14" xr:uid="{00000000-0005-0000-0000-000005000000}"/>
    <cellStyle name="40% - Accent1 2" xfId="15" xr:uid="{00000000-0005-0000-0000-000006000000}"/>
    <cellStyle name="40% - Accent2 2" xfId="16" xr:uid="{00000000-0005-0000-0000-000007000000}"/>
    <cellStyle name="40% - Accent3 2" xfId="17" xr:uid="{00000000-0005-0000-0000-000008000000}"/>
    <cellStyle name="40% - Accent4 2" xfId="18" xr:uid="{00000000-0005-0000-0000-000009000000}"/>
    <cellStyle name="40% - Accent5 2" xfId="19" xr:uid="{00000000-0005-0000-0000-00000A000000}"/>
    <cellStyle name="40% - Accent6 2" xfId="20" xr:uid="{00000000-0005-0000-0000-00000B000000}"/>
    <cellStyle name="60% - Accent1 2" xfId="21" xr:uid="{00000000-0005-0000-0000-00000C000000}"/>
    <cellStyle name="60% - Accent2 2" xfId="22" xr:uid="{00000000-0005-0000-0000-00000D000000}"/>
    <cellStyle name="60% - Accent3 2" xfId="23" xr:uid="{00000000-0005-0000-0000-00000E000000}"/>
    <cellStyle name="60% - Accent4 2" xfId="24" xr:uid="{00000000-0005-0000-0000-00000F000000}"/>
    <cellStyle name="60% - Accent5 2" xfId="25" xr:uid="{00000000-0005-0000-0000-000010000000}"/>
    <cellStyle name="60% - Accent6 2" xfId="26" xr:uid="{00000000-0005-0000-0000-000011000000}"/>
    <cellStyle name="Accent1" xfId="2" builtinId="29"/>
    <cellStyle name="Accent1 2" xfId="6" xr:uid="{00000000-0005-0000-0000-000013000000}"/>
    <cellStyle name="Accent1 2 2" xfId="52" xr:uid="{B91DA2C0-6F5E-4CAF-9E24-1CA2448A7E02}"/>
    <cellStyle name="Accent1 3" xfId="56" xr:uid="{06FDAD01-8808-4BEA-864D-F8A8026AA2BA}"/>
    <cellStyle name="Accent2 2" xfId="27" xr:uid="{00000000-0005-0000-0000-000014000000}"/>
    <cellStyle name="Accent3 2" xfId="28" xr:uid="{00000000-0005-0000-0000-000015000000}"/>
    <cellStyle name="Accent4 2" xfId="29" xr:uid="{00000000-0005-0000-0000-000016000000}"/>
    <cellStyle name="Accent5 2" xfId="30" xr:uid="{00000000-0005-0000-0000-000017000000}"/>
    <cellStyle name="Accent6 2" xfId="31" xr:uid="{00000000-0005-0000-0000-000018000000}"/>
    <cellStyle name="Bad 2" xfId="32" xr:uid="{00000000-0005-0000-0000-000019000000}"/>
    <cellStyle name="Calculation 2" xfId="33" xr:uid="{00000000-0005-0000-0000-00001A000000}"/>
    <cellStyle name="Check Cell 2" xfId="34" xr:uid="{00000000-0005-0000-0000-00001B000000}"/>
    <cellStyle name="Comma 2" xfId="4" xr:uid="{00000000-0005-0000-0000-00001C000000}"/>
    <cellStyle name="Comma 2 2" xfId="7" xr:uid="{00000000-0005-0000-0000-00001D000000}"/>
    <cellStyle name="Comma 3" xfId="8" xr:uid="{00000000-0005-0000-0000-00001E000000}"/>
    <cellStyle name="Excel Built-in Normal" xfId="1" xr:uid="{00000000-0005-0000-0000-00001F000000}"/>
    <cellStyle name="Excel Built-in Normal 2" xfId="54" xr:uid="{A9BF44D5-3FE2-4622-9C4C-6EFAAFA4E2A2}"/>
    <cellStyle name="Explanatory Text 2" xfId="35" xr:uid="{00000000-0005-0000-0000-000020000000}"/>
    <cellStyle name="Good 2" xfId="36" xr:uid="{00000000-0005-0000-0000-000021000000}"/>
    <cellStyle name="Heading 1 2" xfId="37" xr:uid="{00000000-0005-0000-0000-000022000000}"/>
    <cellStyle name="Heading 2 2" xfId="38" xr:uid="{00000000-0005-0000-0000-000023000000}"/>
    <cellStyle name="Heading 3 2" xfId="39" xr:uid="{00000000-0005-0000-0000-000024000000}"/>
    <cellStyle name="Heading 4 2" xfId="40" xr:uid="{00000000-0005-0000-0000-000025000000}"/>
    <cellStyle name="Hyperlink" xfId="50" builtinId="8"/>
    <cellStyle name="Input 2" xfId="41" xr:uid="{00000000-0005-0000-0000-000027000000}"/>
    <cellStyle name="Linked Cell 2" xfId="42" xr:uid="{00000000-0005-0000-0000-000028000000}"/>
    <cellStyle name="Neutral 2" xfId="43" xr:uid="{00000000-0005-0000-0000-000029000000}"/>
    <cellStyle name="Normal" xfId="0" builtinId="0"/>
    <cellStyle name="Normal 2" xfId="5" xr:uid="{00000000-0005-0000-0000-00002B000000}"/>
    <cellStyle name="Normal 2 2" xfId="49" xr:uid="{00000000-0005-0000-0000-00002C000000}"/>
    <cellStyle name="Normal 2 4" xfId="51" xr:uid="{B177660A-FCD0-42A4-B466-E9626169FB4A}"/>
    <cellStyle name="Normal 3" xfId="3" xr:uid="{00000000-0005-0000-0000-00002D000000}"/>
    <cellStyle name="Normal 3 2" xfId="55" xr:uid="{4FA84368-E5A7-48B5-AFFE-4FC6AF508FAC}"/>
    <cellStyle name="Normal 4" xfId="53" xr:uid="{251A34E7-2501-4AF3-AB6A-E9EFB23FF2F8}"/>
    <cellStyle name="Note 2" xfId="44" xr:uid="{00000000-0005-0000-0000-00002E000000}"/>
    <cellStyle name="Output 2" xfId="45" xr:uid="{00000000-0005-0000-0000-00002F000000}"/>
    <cellStyle name="Title 2" xfId="46" xr:uid="{00000000-0005-0000-0000-000030000000}"/>
    <cellStyle name="Total 2" xfId="47" xr:uid="{00000000-0005-0000-0000-000031000000}"/>
    <cellStyle name="Warning Text 2" xfId="48" xr:uid="{00000000-0005-0000-0000-000032000000}"/>
  </cellStyles>
  <dxfs count="0"/>
  <tableStyles count="0" defaultTableStyle="TableStyleMedium2" defaultPivotStyle="PivotStyleLight16"/>
  <colors>
    <mruColors>
      <color rgb="FFF9B9D1"/>
      <color rgb="FFEE2B76"/>
      <color rgb="FFE04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31"/>
  <sheetViews>
    <sheetView topLeftCell="A3" zoomScaleNormal="100" workbookViewId="0">
      <selection activeCell="E17" sqref="E17"/>
    </sheetView>
  </sheetViews>
  <sheetFormatPr defaultColWidth="8.85546875" defaultRowHeight="14.45"/>
  <cols>
    <col min="2" max="2" width="6.140625" style="16" bestFit="1" customWidth="1"/>
    <col min="3" max="3" width="45.42578125" style="16" customWidth="1"/>
    <col min="4" max="4" width="11.7109375" style="16" bestFit="1" customWidth="1"/>
    <col min="5" max="8" width="11.85546875" style="16" bestFit="1" customWidth="1"/>
    <col min="9" max="9" width="13.42578125" style="16" bestFit="1" customWidth="1"/>
    <col min="10" max="10" width="33.140625" style="16" bestFit="1" customWidth="1"/>
  </cols>
  <sheetData>
    <row r="2" spans="2:10" ht="25.5" customHeight="1">
      <c r="B2" s="122"/>
      <c r="C2" s="122"/>
      <c r="D2" s="122"/>
      <c r="E2" s="122"/>
      <c r="F2" s="122"/>
      <c r="G2" s="122"/>
      <c r="H2" s="122"/>
      <c r="I2" s="122"/>
      <c r="J2" s="122"/>
    </row>
    <row r="3" spans="2:10" ht="20.45">
      <c r="B3" s="65" t="s">
        <v>0</v>
      </c>
      <c r="C3" s="66" t="s">
        <v>1</v>
      </c>
      <c r="D3" s="67" t="s">
        <v>2</v>
      </c>
      <c r="E3" s="67" t="s">
        <v>3</v>
      </c>
      <c r="F3" s="67" t="s">
        <v>4</v>
      </c>
      <c r="G3" s="67" t="s">
        <v>5</v>
      </c>
      <c r="H3" s="67" t="s">
        <v>6</v>
      </c>
      <c r="I3" s="68" t="s">
        <v>7</v>
      </c>
      <c r="J3" s="67" t="s">
        <v>8</v>
      </c>
    </row>
    <row r="4" spans="2:10">
      <c r="B4" s="123" t="s">
        <v>9</v>
      </c>
      <c r="C4" s="124"/>
      <c r="D4" s="124"/>
      <c r="E4" s="124"/>
      <c r="F4" s="124"/>
      <c r="G4" s="124"/>
      <c r="H4" s="124"/>
      <c r="I4" s="124"/>
      <c r="J4" s="125"/>
    </row>
    <row r="5" spans="2:10">
      <c r="B5" s="69">
        <v>1</v>
      </c>
      <c r="C5" s="70" t="s">
        <v>10</v>
      </c>
      <c r="D5" s="71">
        <v>20</v>
      </c>
      <c r="E5" s="71">
        <v>50</v>
      </c>
      <c r="F5" s="71">
        <v>100</v>
      </c>
      <c r="G5" s="71">
        <v>150</v>
      </c>
      <c r="H5" s="71">
        <v>200</v>
      </c>
      <c r="I5" s="71"/>
      <c r="J5" s="70"/>
    </row>
    <row r="6" spans="2:10">
      <c r="B6" s="69">
        <v>2</v>
      </c>
      <c r="C6" s="72" t="s">
        <v>11</v>
      </c>
      <c r="D6" s="71"/>
      <c r="E6" s="71"/>
      <c r="F6" s="71"/>
      <c r="G6" s="71"/>
      <c r="H6" s="71"/>
      <c r="I6" s="73" t="s">
        <v>12</v>
      </c>
      <c r="J6" s="70"/>
    </row>
    <row r="7" spans="2:10">
      <c r="B7" s="69">
        <v>3</v>
      </c>
      <c r="C7" s="70" t="s">
        <v>13</v>
      </c>
      <c r="D7" s="74">
        <v>100</v>
      </c>
      <c r="E7" s="74">
        <v>200</v>
      </c>
      <c r="F7" s="74">
        <v>500</v>
      </c>
      <c r="G7" s="74">
        <v>1000</v>
      </c>
      <c r="H7" s="74">
        <v>1500</v>
      </c>
      <c r="I7" s="73"/>
      <c r="J7" s="75"/>
    </row>
    <row r="8" spans="2:10">
      <c r="B8" s="69">
        <v>4</v>
      </c>
      <c r="C8" s="70" t="s">
        <v>14</v>
      </c>
      <c r="D8" s="76">
        <v>605575.6</v>
      </c>
      <c r="E8" s="76">
        <v>2092808.2</v>
      </c>
      <c r="F8" s="76">
        <v>8319721.9000000004</v>
      </c>
      <c r="G8" s="76">
        <v>23948339.100000001</v>
      </c>
      <c r="H8" s="76">
        <v>48056610.700000003</v>
      </c>
      <c r="I8" s="76"/>
      <c r="J8" s="70"/>
    </row>
    <row r="9" spans="2:10">
      <c r="B9" s="69">
        <v>5</v>
      </c>
      <c r="C9" s="70" t="s">
        <v>15</v>
      </c>
      <c r="D9" s="76">
        <v>400000</v>
      </c>
      <c r="E9" s="76">
        <v>2479120</v>
      </c>
      <c r="F9" s="76">
        <v>10222240</v>
      </c>
      <c r="G9" s="76">
        <v>27276280</v>
      </c>
      <c r="H9" s="76">
        <v>53964160</v>
      </c>
      <c r="I9" s="76"/>
      <c r="J9" s="70"/>
    </row>
    <row r="10" spans="2:10">
      <c r="B10" s="69">
        <v>5</v>
      </c>
      <c r="C10" s="70" t="s">
        <v>16</v>
      </c>
      <c r="D10" s="76">
        <v>60557.560000000005</v>
      </c>
      <c r="E10" s="76">
        <v>209280.82</v>
      </c>
      <c r="F10" s="76">
        <v>831972.19</v>
      </c>
      <c r="G10" s="76">
        <v>2394833.91</v>
      </c>
      <c r="H10" s="76">
        <v>4805661.07</v>
      </c>
      <c r="I10" s="76"/>
      <c r="J10" s="70"/>
    </row>
    <row r="11" spans="2:10">
      <c r="B11" s="69">
        <v>6</v>
      </c>
      <c r="C11" s="70" t="s">
        <v>17</v>
      </c>
      <c r="D11" s="76">
        <v>40000</v>
      </c>
      <c r="E11" s="76">
        <v>247912</v>
      </c>
      <c r="F11" s="76">
        <v>1022224</v>
      </c>
      <c r="G11" s="76">
        <v>2727628</v>
      </c>
      <c r="H11" s="76">
        <v>5396416</v>
      </c>
      <c r="I11" s="76"/>
      <c r="J11" s="70"/>
    </row>
    <row r="12" spans="2:10">
      <c r="B12" s="69">
        <v>7</v>
      </c>
      <c r="C12" s="70" t="s">
        <v>18</v>
      </c>
      <c r="D12" s="76">
        <v>55532</v>
      </c>
      <c r="E12" s="76">
        <v>219332</v>
      </c>
      <c r="F12" s="76">
        <v>881099</v>
      </c>
      <c r="G12" s="76">
        <v>2482534</v>
      </c>
      <c r="H12" s="76">
        <v>4962383</v>
      </c>
      <c r="I12" s="76"/>
      <c r="J12" s="70"/>
    </row>
    <row r="13" spans="2:10">
      <c r="B13" s="69">
        <v>8</v>
      </c>
      <c r="C13" s="77" t="s">
        <v>19</v>
      </c>
      <c r="D13" s="78">
        <v>1.5</v>
      </c>
      <c r="E13" s="76"/>
      <c r="F13" s="76"/>
      <c r="G13" s="76"/>
      <c r="H13" s="76"/>
      <c r="I13" s="76"/>
      <c r="J13" s="70"/>
    </row>
    <row r="14" spans="2:10" ht="20.45">
      <c r="B14" s="69">
        <v>9</v>
      </c>
      <c r="C14" s="70" t="s">
        <v>20</v>
      </c>
      <c r="D14" s="78">
        <v>2</v>
      </c>
      <c r="E14" s="76"/>
      <c r="F14" s="76"/>
      <c r="G14" s="76"/>
      <c r="H14" s="76"/>
      <c r="I14" s="76"/>
      <c r="J14" s="70"/>
    </row>
    <row r="15" spans="2:10" ht="20.45">
      <c r="B15" s="69">
        <v>10</v>
      </c>
      <c r="C15" s="70" t="s">
        <v>21</v>
      </c>
      <c r="D15" s="78">
        <v>0.5</v>
      </c>
      <c r="E15" s="76"/>
      <c r="F15" s="76"/>
      <c r="G15" s="76"/>
      <c r="H15" s="76"/>
      <c r="I15" s="76"/>
      <c r="J15" s="70"/>
    </row>
    <row r="16" spans="2:10">
      <c r="B16" s="69">
        <v>11</v>
      </c>
      <c r="C16" s="70" t="s">
        <v>22</v>
      </c>
      <c r="D16" s="78">
        <v>4</v>
      </c>
      <c r="E16" s="76"/>
      <c r="F16" s="76"/>
      <c r="G16" s="76"/>
      <c r="H16" s="76"/>
      <c r="I16" s="76"/>
      <c r="J16" s="79"/>
    </row>
    <row r="17" spans="2:10">
      <c r="B17" s="80">
        <v>12</v>
      </c>
      <c r="C17" s="70" t="s">
        <v>23</v>
      </c>
      <c r="D17" s="78">
        <v>0.1</v>
      </c>
      <c r="E17" s="76"/>
      <c r="F17" s="76"/>
      <c r="G17" s="76"/>
      <c r="H17" s="76"/>
      <c r="I17" s="76"/>
      <c r="J17" s="79"/>
    </row>
    <row r="18" spans="2:10" ht="20.45">
      <c r="B18" s="80">
        <v>13</v>
      </c>
      <c r="C18" s="70" t="s">
        <v>24</v>
      </c>
      <c r="D18" s="78">
        <v>5</v>
      </c>
      <c r="E18" s="76"/>
      <c r="F18" s="76"/>
      <c r="G18" s="76"/>
      <c r="H18" s="76"/>
      <c r="I18" s="76"/>
      <c r="J18" s="79"/>
    </row>
    <row r="19" spans="2:10">
      <c r="B19" s="69">
        <v>14</v>
      </c>
      <c r="C19" s="81" t="s">
        <v>25</v>
      </c>
      <c r="D19" s="82">
        <v>10</v>
      </c>
      <c r="E19" s="83"/>
      <c r="F19" s="83"/>
      <c r="G19" s="83"/>
      <c r="H19" s="83"/>
      <c r="I19" s="83"/>
      <c r="J19" s="84"/>
    </row>
    <row r="20" spans="2:10">
      <c r="B20" s="80">
        <v>15</v>
      </c>
      <c r="C20" s="81" t="s">
        <v>26</v>
      </c>
      <c r="D20" s="85" t="s">
        <v>27</v>
      </c>
      <c r="E20" s="83"/>
      <c r="F20" s="83"/>
      <c r="G20" s="83"/>
      <c r="H20" s="83"/>
      <c r="I20" s="83"/>
      <c r="J20" s="84"/>
    </row>
    <row r="21" spans="2:10">
      <c r="B21" s="69">
        <v>16</v>
      </c>
      <c r="C21" s="70" t="s">
        <v>28</v>
      </c>
      <c r="D21" s="86">
        <v>1.5</v>
      </c>
      <c r="E21" s="87"/>
      <c r="F21" s="87"/>
      <c r="G21" s="87"/>
      <c r="H21" s="87"/>
      <c r="I21" s="88"/>
      <c r="J21" s="70"/>
    </row>
    <row r="22" spans="2:10">
      <c r="B22" s="69">
        <v>17</v>
      </c>
      <c r="C22" s="89" t="s">
        <v>29</v>
      </c>
      <c r="D22" s="90" t="s">
        <v>27</v>
      </c>
      <c r="E22" s="87"/>
      <c r="F22" s="87"/>
      <c r="G22" s="87"/>
      <c r="H22" s="87"/>
      <c r="I22" s="88"/>
      <c r="J22" s="70"/>
    </row>
    <row r="24" spans="2:10" ht="20.45">
      <c r="B24" s="69">
        <v>1</v>
      </c>
      <c r="C24" s="91" t="s">
        <v>30</v>
      </c>
      <c r="D24" s="126" t="s">
        <v>31</v>
      </c>
      <c r="E24" s="126"/>
      <c r="F24" s="126"/>
      <c r="G24" s="126"/>
      <c r="H24" s="126"/>
      <c r="I24" s="17"/>
    </row>
    <row r="25" spans="2:10" ht="20.45">
      <c r="B25" s="69">
        <v>2</v>
      </c>
      <c r="C25" s="91" t="s">
        <v>32</v>
      </c>
      <c r="D25" s="127" t="s">
        <v>33</v>
      </c>
      <c r="E25" s="127"/>
      <c r="F25" s="127"/>
      <c r="G25" s="127"/>
      <c r="H25" s="127"/>
      <c r="I25" s="17"/>
    </row>
    <row r="27" spans="2:10">
      <c r="B27" s="66" t="s">
        <v>34</v>
      </c>
      <c r="C27" s="66" t="s">
        <v>35</v>
      </c>
      <c r="D27" s="92" t="s">
        <v>36</v>
      </c>
    </row>
    <row r="28" spans="2:10">
      <c r="B28" s="93">
        <v>1</v>
      </c>
      <c r="C28" s="70" t="s">
        <v>37</v>
      </c>
      <c r="D28" s="69" t="s">
        <v>38</v>
      </c>
    </row>
    <row r="29" spans="2:10">
      <c r="B29" s="93">
        <v>2</v>
      </c>
      <c r="C29" s="70" t="s">
        <v>39</v>
      </c>
      <c r="D29" s="69" t="s">
        <v>40</v>
      </c>
    </row>
    <row r="30" spans="2:10">
      <c r="B30" s="93">
        <v>3</v>
      </c>
      <c r="C30" s="70" t="s">
        <v>41</v>
      </c>
      <c r="D30" s="69" t="s">
        <v>38</v>
      </c>
    </row>
    <row r="31" spans="2:10">
      <c r="B31" s="93">
        <v>4</v>
      </c>
      <c r="C31" s="70" t="s">
        <v>42</v>
      </c>
      <c r="D31" s="69" t="s">
        <v>38</v>
      </c>
    </row>
  </sheetData>
  <mergeCells count="4">
    <mergeCell ref="B2:J2"/>
    <mergeCell ref="B4:J4"/>
    <mergeCell ref="D24:H24"/>
    <mergeCell ref="D25:H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B1:E12"/>
  <sheetViews>
    <sheetView showGridLines="0" zoomScale="90" zoomScaleNormal="90" workbookViewId="0">
      <selection activeCell="D16" sqref="D16"/>
    </sheetView>
  </sheetViews>
  <sheetFormatPr defaultColWidth="8.85546875" defaultRowHeight="14.45"/>
  <cols>
    <col min="1" max="1" width="3.140625" style="4" customWidth="1"/>
    <col min="2" max="2" width="32.140625" style="36" bestFit="1" customWidth="1"/>
    <col min="3" max="3" width="24.140625" style="13" bestFit="1" customWidth="1"/>
    <col min="4" max="4" width="28.42578125" style="13" customWidth="1"/>
    <col min="5" max="5" width="28.42578125" style="4" customWidth="1"/>
    <col min="6" max="16384" width="8.85546875" style="4"/>
  </cols>
  <sheetData>
    <row r="1" spans="2:5" ht="15" thickBot="1"/>
    <row r="2" spans="2:5" ht="16.5" customHeight="1" thickTop="1" thickBot="1">
      <c r="B2" s="128" t="s">
        <v>43</v>
      </c>
      <c r="C2" s="129"/>
      <c r="D2" s="129"/>
      <c r="E2" s="129"/>
    </row>
    <row r="3" spans="2:5" ht="15.6" thickTop="1" thickBot="1">
      <c r="B3" s="30" t="s">
        <v>44</v>
      </c>
      <c r="C3" s="31" t="s">
        <v>45</v>
      </c>
      <c r="D3" s="31" t="s">
        <v>46</v>
      </c>
      <c r="E3" s="31" t="s">
        <v>46</v>
      </c>
    </row>
    <row r="4" spans="2:5" ht="28.9" thickTop="1" thickBot="1">
      <c r="B4" s="32" t="s">
        <v>47</v>
      </c>
      <c r="C4" s="35">
        <v>4.17</v>
      </c>
      <c r="D4" s="33" t="s">
        <v>48</v>
      </c>
      <c r="E4" s="33" t="s">
        <v>49</v>
      </c>
    </row>
    <row r="5" spans="2:5" ht="15.6" thickTop="1" thickBot="1">
      <c r="B5" s="32" t="s">
        <v>50</v>
      </c>
      <c r="C5" s="34" t="s">
        <v>51</v>
      </c>
      <c r="D5" s="34" t="s">
        <v>52</v>
      </c>
      <c r="E5" s="33" t="s">
        <v>49</v>
      </c>
    </row>
    <row r="6" spans="2:5" ht="15.6" thickTop="1" thickBot="1">
      <c r="B6" s="32" t="s">
        <v>53</v>
      </c>
      <c r="C6" s="34" t="s">
        <v>54</v>
      </c>
      <c r="D6" s="34" t="s">
        <v>55</v>
      </c>
      <c r="E6" s="33" t="s">
        <v>49</v>
      </c>
    </row>
    <row r="7" spans="2:5" ht="15.6" thickTop="1" thickBot="1">
      <c r="B7" s="32" t="s">
        <v>56</v>
      </c>
      <c r="C7" s="34" t="s">
        <v>57</v>
      </c>
      <c r="D7" s="34" t="s">
        <v>55</v>
      </c>
      <c r="E7" s="33" t="s">
        <v>49</v>
      </c>
    </row>
    <row r="8" spans="2:5" ht="15.6" thickTop="1" thickBot="1">
      <c r="B8" s="32" t="s">
        <v>58</v>
      </c>
      <c r="C8" s="34" t="s">
        <v>59</v>
      </c>
      <c r="D8" s="34" t="s">
        <v>60</v>
      </c>
      <c r="E8" s="33" t="s">
        <v>49</v>
      </c>
    </row>
    <row r="9" spans="2:5" ht="15.6" thickTop="1" thickBot="1">
      <c r="B9" s="32" t="s">
        <v>61</v>
      </c>
      <c r="C9" s="34" t="s">
        <v>62</v>
      </c>
      <c r="D9" s="34" t="s">
        <v>63</v>
      </c>
      <c r="E9" s="33" t="s">
        <v>64</v>
      </c>
    </row>
    <row r="10" spans="2:5" ht="15.6" thickTop="1" thickBot="1">
      <c r="B10" s="32" t="s">
        <v>65</v>
      </c>
      <c r="C10" s="34" t="s">
        <v>66</v>
      </c>
      <c r="D10" s="34" t="s">
        <v>67</v>
      </c>
      <c r="E10" s="33" t="s">
        <v>64</v>
      </c>
    </row>
    <row r="11" spans="2:5" ht="15.6" thickTop="1" thickBot="1">
      <c r="B11" s="32" t="s">
        <v>68</v>
      </c>
      <c r="C11" s="34" t="s">
        <v>51</v>
      </c>
      <c r="D11" s="34" t="s">
        <v>69</v>
      </c>
      <c r="E11" s="33" t="s">
        <v>49</v>
      </c>
    </row>
    <row r="12" spans="2:5" ht="15" thickTop="1"/>
  </sheetData>
  <mergeCells count="1">
    <mergeCell ref="B2:E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4018A-D0DA-48E7-B317-604F81B82721}">
  <sheetPr codeName="Sheet12"/>
  <dimension ref="B1:L13"/>
  <sheetViews>
    <sheetView showGridLines="0" tabSelected="1" zoomScale="90" zoomScaleNormal="90" workbookViewId="0">
      <selection activeCell="B25" sqref="B25"/>
    </sheetView>
  </sheetViews>
  <sheetFormatPr defaultColWidth="8.85546875" defaultRowHeight="14.45"/>
  <cols>
    <col min="2" max="2" width="51.140625" bestFit="1" customWidth="1"/>
    <col min="3" max="3" width="10.140625" customWidth="1"/>
    <col min="4" max="4" width="10.140625" style="5" customWidth="1"/>
    <col min="5" max="6" width="10.140625" style="4" customWidth="1"/>
    <col min="7" max="7" width="10.140625" style="5" customWidth="1"/>
    <col min="8" max="12" width="8.85546875" style="5"/>
  </cols>
  <sheetData>
    <row r="1" spans="2:12">
      <c r="B1" s="53" t="s">
        <v>70</v>
      </c>
      <c r="C1" s="53" t="s">
        <v>71</v>
      </c>
      <c r="D1" s="52" t="s">
        <v>72</v>
      </c>
      <c r="E1" s="54" t="s">
        <v>73</v>
      </c>
      <c r="F1" s="54" t="s">
        <v>74</v>
      </c>
      <c r="G1" s="52" t="s">
        <v>75</v>
      </c>
    </row>
    <row r="2" spans="2:12">
      <c r="B2" s="120" t="s">
        <v>76</v>
      </c>
      <c r="C2" s="120"/>
      <c r="D2" s="120"/>
      <c r="E2" s="120"/>
      <c r="F2" s="120"/>
      <c r="G2" s="120"/>
    </row>
    <row r="3" spans="2:12">
      <c r="B3" s="45" t="s">
        <v>77</v>
      </c>
      <c r="C3" s="51">
        <v>7</v>
      </c>
      <c r="D3" s="51">
        <v>7</v>
      </c>
      <c r="E3" s="51">
        <v>7</v>
      </c>
      <c r="F3" s="51">
        <v>8</v>
      </c>
      <c r="G3" s="51">
        <v>8</v>
      </c>
    </row>
    <row r="4" spans="2:12">
      <c r="B4" s="46"/>
      <c r="C4" s="46"/>
      <c r="D4" s="46"/>
      <c r="E4" s="46"/>
      <c r="F4" s="46"/>
      <c r="G4" s="46"/>
    </row>
    <row r="5" spans="2:12">
      <c r="B5" s="121" t="s">
        <v>78</v>
      </c>
      <c r="C5" s="121"/>
      <c r="D5" s="121"/>
      <c r="E5" s="121"/>
      <c r="F5" s="121"/>
      <c r="G5" s="121"/>
    </row>
    <row r="6" spans="2:12">
      <c r="B6" s="47" t="s">
        <v>79</v>
      </c>
      <c r="C6" s="51">
        <v>18</v>
      </c>
      <c r="D6" s="51">
        <v>19</v>
      </c>
      <c r="E6" s="51">
        <v>20</v>
      </c>
      <c r="F6" s="51">
        <v>22</v>
      </c>
      <c r="G6" s="51">
        <v>24</v>
      </c>
    </row>
    <row r="7" spans="2:12">
      <c r="B7" s="47" t="s">
        <v>80</v>
      </c>
      <c r="C7" s="51">
        <f>C6*2</f>
        <v>36</v>
      </c>
      <c r="D7" s="51">
        <f t="shared" ref="D7:G7" si="0">D6*2</f>
        <v>38</v>
      </c>
      <c r="E7" s="51">
        <f t="shared" si="0"/>
        <v>40</v>
      </c>
      <c r="F7" s="51">
        <f t="shared" si="0"/>
        <v>44</v>
      </c>
      <c r="G7" s="51">
        <f t="shared" si="0"/>
        <v>48</v>
      </c>
    </row>
    <row r="8" spans="2:12">
      <c r="B8" s="48"/>
      <c r="C8" s="49"/>
      <c r="D8" s="49"/>
      <c r="E8" s="49"/>
      <c r="F8" s="49"/>
      <c r="G8" s="50"/>
    </row>
    <row r="9" spans="2:12">
      <c r="B9" s="121" t="s">
        <v>81</v>
      </c>
      <c r="C9" s="121"/>
      <c r="D9" s="121"/>
      <c r="E9" s="121"/>
      <c r="F9" s="121"/>
      <c r="G9" s="121"/>
    </row>
    <row r="10" spans="2:12">
      <c r="B10" s="45" t="s">
        <v>82</v>
      </c>
      <c r="C10" s="51">
        <v>14000</v>
      </c>
      <c r="D10" s="51">
        <v>15000</v>
      </c>
      <c r="E10" s="51">
        <v>16000</v>
      </c>
      <c r="F10" s="51">
        <v>17500</v>
      </c>
      <c r="G10" s="51">
        <v>19500</v>
      </c>
    </row>
    <row r="11" spans="2:12">
      <c r="B11" s="46" t="s">
        <v>83</v>
      </c>
      <c r="C11" s="51">
        <v>7100</v>
      </c>
      <c r="D11" s="51">
        <v>7800</v>
      </c>
      <c r="E11" s="51">
        <v>8500</v>
      </c>
      <c r="F11" s="51">
        <v>9400</v>
      </c>
      <c r="G11" s="51">
        <v>10300</v>
      </c>
    </row>
    <row r="13" spans="2:12">
      <c r="D13"/>
      <c r="E13"/>
      <c r="F13"/>
      <c r="G13"/>
      <c r="H13"/>
      <c r="I13"/>
      <c r="J13"/>
      <c r="K13"/>
      <c r="L13"/>
    </row>
  </sheetData>
  <mergeCells count="3">
    <mergeCell ref="B2:G2"/>
    <mergeCell ref="B5:G5"/>
    <mergeCell ref="B9:G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O49"/>
  <sheetViews>
    <sheetView showGridLines="0" topLeftCell="A5" zoomScale="70" zoomScaleNormal="70" workbookViewId="0">
      <selection activeCell="P23" sqref="P23"/>
    </sheetView>
  </sheetViews>
  <sheetFormatPr defaultColWidth="8.85546875" defaultRowHeight="14.45"/>
  <cols>
    <col min="2" max="2" width="7.42578125" customWidth="1"/>
    <col min="3" max="3" width="76" customWidth="1"/>
    <col min="4" max="4" width="14.28515625" style="5" customWidth="1"/>
    <col min="5" max="5" width="23.28515625" style="4" customWidth="1"/>
    <col min="6" max="6" width="25.140625" style="4" customWidth="1"/>
    <col min="7" max="8" width="9.28515625" style="5" bestFit="1" customWidth="1"/>
    <col min="9" max="9" width="11.42578125" style="5" customWidth="1"/>
    <col min="10" max="10" width="8.42578125" style="5" bestFit="1" customWidth="1"/>
    <col min="11" max="11" width="8.42578125" style="5" customWidth="1"/>
    <col min="12" max="12" width="11.42578125" style="5" customWidth="1"/>
    <col min="13" max="13" width="2.140625" hidden="1" customWidth="1"/>
    <col min="14" max="14" width="38.42578125" customWidth="1"/>
  </cols>
  <sheetData>
    <row r="1" spans="2:15" ht="15" customHeight="1">
      <c r="D1"/>
      <c r="E1"/>
      <c r="F1"/>
      <c r="G1"/>
      <c r="H1"/>
      <c r="I1"/>
      <c r="J1"/>
      <c r="K1"/>
      <c r="L1"/>
    </row>
    <row r="2" spans="2:15" ht="30" customHeight="1">
      <c r="B2" s="121" t="s">
        <v>84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3" spans="2:15" s="4" customFormat="1" ht="69.75" customHeight="1">
      <c r="B3" s="43" t="s">
        <v>85</v>
      </c>
      <c r="C3" s="43" t="s">
        <v>86</v>
      </c>
      <c r="D3" s="43" t="s">
        <v>87</v>
      </c>
      <c r="E3" s="43" t="s">
        <v>88</v>
      </c>
      <c r="F3" s="43" t="s">
        <v>89</v>
      </c>
      <c r="G3" s="43" t="s">
        <v>90</v>
      </c>
      <c r="H3" s="43" t="s">
        <v>91</v>
      </c>
      <c r="I3" s="43" t="s">
        <v>92</v>
      </c>
      <c r="J3" s="43" t="s">
        <v>93</v>
      </c>
      <c r="K3" s="43" t="s">
        <v>94</v>
      </c>
      <c r="L3" s="43" t="s">
        <v>95</v>
      </c>
      <c r="M3" s="44"/>
      <c r="N3" s="43" t="s">
        <v>89</v>
      </c>
      <c r="O3" s="37"/>
    </row>
    <row r="4" spans="2:15">
      <c r="B4" s="12">
        <v>1</v>
      </c>
      <c r="C4" s="11" t="s">
        <v>96</v>
      </c>
      <c r="D4" s="38"/>
      <c r="E4" s="39"/>
      <c r="F4" s="39"/>
      <c r="G4" s="38"/>
      <c r="H4" s="38"/>
      <c r="I4" s="38"/>
      <c r="J4" s="38"/>
      <c r="K4" s="38"/>
      <c r="L4" s="38"/>
      <c r="M4" s="40"/>
      <c r="N4" s="42"/>
    </row>
    <row r="5" spans="2:15">
      <c r="B5" s="9"/>
      <c r="C5" s="55" t="s">
        <v>97</v>
      </c>
      <c r="D5" s="94">
        <v>1</v>
      </c>
      <c r="E5" s="95" t="s">
        <v>98</v>
      </c>
      <c r="F5" s="96"/>
      <c r="G5" s="94">
        <v>2</v>
      </c>
      <c r="H5" s="94">
        <v>16</v>
      </c>
      <c r="I5" s="94">
        <v>256</v>
      </c>
      <c r="J5" s="94">
        <f t="shared" ref="J5:J7" si="0">G5*D5</f>
        <v>2</v>
      </c>
      <c r="K5" s="94">
        <f t="shared" ref="K5:K7" si="1">H5*D5</f>
        <v>16</v>
      </c>
      <c r="L5" s="97">
        <f t="shared" ref="L5:L7" si="2">I5*D5/1024</f>
        <v>0.25</v>
      </c>
      <c r="M5" s="14"/>
      <c r="N5" s="130" t="s">
        <v>99</v>
      </c>
    </row>
    <row r="6" spans="2:15">
      <c r="B6" s="9"/>
      <c r="C6" s="55" t="s">
        <v>100</v>
      </c>
      <c r="D6" s="94">
        <v>1</v>
      </c>
      <c r="E6" s="95" t="s">
        <v>98</v>
      </c>
      <c r="F6" s="56"/>
      <c r="G6" s="94">
        <v>2</v>
      </c>
      <c r="H6" s="94">
        <v>16</v>
      </c>
      <c r="I6" s="94">
        <v>256</v>
      </c>
      <c r="J6" s="94">
        <f t="shared" si="0"/>
        <v>2</v>
      </c>
      <c r="K6" s="94">
        <f t="shared" si="1"/>
        <v>16</v>
      </c>
      <c r="L6" s="97">
        <f t="shared" si="2"/>
        <v>0.25</v>
      </c>
      <c r="M6" s="14"/>
      <c r="N6" s="130"/>
    </row>
    <row r="7" spans="2:15">
      <c r="B7" s="9"/>
      <c r="C7" s="55" t="s">
        <v>101</v>
      </c>
      <c r="D7" s="94">
        <v>3</v>
      </c>
      <c r="E7" s="95" t="s">
        <v>102</v>
      </c>
      <c r="F7" s="56"/>
      <c r="G7" s="94">
        <v>4</v>
      </c>
      <c r="H7" s="94">
        <v>16</v>
      </c>
      <c r="I7" s="94">
        <v>256</v>
      </c>
      <c r="J7" s="94">
        <f t="shared" si="0"/>
        <v>12</v>
      </c>
      <c r="K7" s="94">
        <f t="shared" si="1"/>
        <v>48</v>
      </c>
      <c r="L7" s="97">
        <f t="shared" si="2"/>
        <v>0.75</v>
      </c>
      <c r="M7" s="14"/>
      <c r="N7" s="130"/>
    </row>
    <row r="8" spans="2:15">
      <c r="B8" s="5"/>
      <c r="C8" s="28" t="s">
        <v>103</v>
      </c>
      <c r="D8" s="98">
        <f>Data!C3</f>
        <v>7</v>
      </c>
      <c r="E8" s="95" t="s">
        <v>102</v>
      </c>
      <c r="F8" s="57"/>
      <c r="G8" s="94">
        <v>8</v>
      </c>
      <c r="H8" s="94">
        <v>32</v>
      </c>
      <c r="I8" s="94">
        <v>256</v>
      </c>
      <c r="J8" s="94">
        <f t="shared" ref="J8" si="3">G8*D8</f>
        <v>56</v>
      </c>
      <c r="K8" s="94">
        <f t="shared" ref="K8" si="4">H8*D8</f>
        <v>224</v>
      </c>
      <c r="L8" s="97">
        <f>I8*D8/1024</f>
        <v>1.75</v>
      </c>
      <c r="M8" s="14"/>
      <c r="N8" s="58"/>
      <c r="O8" s="26"/>
    </row>
    <row r="9" spans="2:15">
      <c r="B9" s="5"/>
      <c r="C9" s="28"/>
      <c r="D9" s="94"/>
      <c r="E9" s="95"/>
      <c r="F9" s="57"/>
      <c r="G9" s="94"/>
      <c r="H9" s="94"/>
      <c r="I9" s="94"/>
      <c r="J9" s="94"/>
      <c r="K9" s="94"/>
      <c r="L9" s="97"/>
      <c r="M9" s="14"/>
      <c r="N9" s="58"/>
      <c r="O9" s="23"/>
    </row>
    <row r="10" spans="2:15">
      <c r="B10" s="6">
        <v>2</v>
      </c>
      <c r="C10" s="59" t="s">
        <v>104</v>
      </c>
      <c r="D10" s="94"/>
      <c r="E10" s="95"/>
      <c r="F10" s="57"/>
      <c r="G10" s="94"/>
      <c r="H10" s="94"/>
      <c r="I10" s="94"/>
      <c r="J10" s="94"/>
      <c r="K10" s="94"/>
      <c r="L10" s="97"/>
      <c r="M10" s="14"/>
      <c r="N10" s="58"/>
      <c r="O10" s="23"/>
    </row>
    <row r="11" spans="2:15">
      <c r="B11" s="5"/>
      <c r="C11" s="28" t="s">
        <v>105</v>
      </c>
      <c r="D11" s="94">
        <v>3</v>
      </c>
      <c r="E11" s="95" t="s">
        <v>102</v>
      </c>
      <c r="F11" s="57"/>
      <c r="G11" s="94">
        <v>4</v>
      </c>
      <c r="H11" s="94">
        <v>32</v>
      </c>
      <c r="I11" s="94">
        <v>256</v>
      </c>
      <c r="J11" s="94">
        <f t="shared" ref="J11" si="5">G11*D11</f>
        <v>12</v>
      </c>
      <c r="K11" s="94">
        <f t="shared" ref="K11" si="6">H11*D11</f>
        <v>96</v>
      </c>
      <c r="L11" s="97">
        <f t="shared" ref="L11:L12" si="7">I11*D11/1024</f>
        <v>0.75</v>
      </c>
      <c r="M11" s="14"/>
      <c r="N11" s="58"/>
      <c r="O11" s="23"/>
    </row>
    <row r="12" spans="2:15">
      <c r="B12" s="5"/>
      <c r="C12" s="28" t="s">
        <v>106</v>
      </c>
      <c r="D12" s="94">
        <v>1</v>
      </c>
      <c r="E12" s="95"/>
      <c r="F12" s="57"/>
      <c r="G12" s="94"/>
      <c r="H12" s="94"/>
      <c r="I12" s="94">
        <f>I26+D8*1024</f>
        <v>14268</v>
      </c>
      <c r="J12" s="94"/>
      <c r="K12" s="94"/>
      <c r="L12" s="97">
        <f t="shared" si="7"/>
        <v>13.93359375</v>
      </c>
      <c r="M12" s="14"/>
      <c r="N12" s="58"/>
      <c r="O12" s="23"/>
    </row>
    <row r="13" spans="2:15">
      <c r="B13" s="5"/>
      <c r="C13" s="14"/>
      <c r="D13" s="94"/>
      <c r="E13" s="95"/>
      <c r="F13" s="95"/>
      <c r="G13" s="94"/>
      <c r="H13" s="94"/>
      <c r="I13" s="94"/>
      <c r="J13" s="94"/>
      <c r="K13" s="94"/>
      <c r="L13" s="97"/>
      <c r="M13" s="14"/>
      <c r="N13" s="58"/>
    </row>
    <row r="14" spans="2:15">
      <c r="B14" s="6">
        <v>3</v>
      </c>
      <c r="C14" s="22" t="s">
        <v>107</v>
      </c>
      <c r="D14" s="99"/>
      <c r="E14" s="99"/>
      <c r="F14" s="99"/>
      <c r="G14" s="99"/>
      <c r="H14" s="99"/>
      <c r="I14" s="99"/>
      <c r="J14" s="99"/>
      <c r="K14" s="99"/>
      <c r="L14" s="97"/>
      <c r="M14" s="60"/>
      <c r="N14" s="58"/>
    </row>
    <row r="15" spans="2:15">
      <c r="B15" s="5"/>
      <c r="C15" s="14" t="s">
        <v>108</v>
      </c>
      <c r="D15" s="94">
        <v>2</v>
      </c>
      <c r="E15" s="100" t="s">
        <v>98</v>
      </c>
      <c r="F15" s="57"/>
      <c r="G15" s="98">
        <f>Data!C6</f>
        <v>18</v>
      </c>
      <c r="H15" s="94">
        <f>G15*16</f>
        <v>288</v>
      </c>
      <c r="I15" s="94">
        <v>300</v>
      </c>
      <c r="J15" s="94">
        <f>G15*D15</f>
        <v>36</v>
      </c>
      <c r="K15" s="94">
        <f>H15*D15</f>
        <v>576</v>
      </c>
      <c r="L15" s="97">
        <f>I15*D15/1024</f>
        <v>0.5859375</v>
      </c>
      <c r="M15" s="60"/>
      <c r="N15" s="58"/>
    </row>
    <row r="16" spans="2:15">
      <c r="B16" s="5"/>
      <c r="C16" s="28" t="s">
        <v>109</v>
      </c>
      <c r="D16" s="94">
        <v>2</v>
      </c>
      <c r="E16" s="100" t="s">
        <v>98</v>
      </c>
      <c r="F16" s="57"/>
      <c r="G16" s="94"/>
      <c r="H16" s="94"/>
      <c r="I16" s="94"/>
      <c r="J16" s="94"/>
      <c r="K16" s="94"/>
      <c r="L16" s="97"/>
      <c r="M16" s="60"/>
      <c r="N16" s="58"/>
    </row>
    <row r="17" spans="2:14">
      <c r="B17" s="5"/>
      <c r="C17" s="28" t="s">
        <v>110</v>
      </c>
      <c r="D17" s="94">
        <v>2</v>
      </c>
      <c r="E17" s="101" t="s">
        <v>111</v>
      </c>
      <c r="F17" s="101"/>
      <c r="G17" s="102"/>
      <c r="H17" s="94"/>
      <c r="I17" s="98">
        <f>Data!C10</f>
        <v>14000</v>
      </c>
      <c r="J17" s="102"/>
      <c r="K17" s="94"/>
      <c r="L17" s="97">
        <f>I17*D17/1024</f>
        <v>27.34375</v>
      </c>
      <c r="M17" s="60"/>
      <c r="N17" s="58"/>
    </row>
    <row r="18" spans="2:14">
      <c r="B18" s="5"/>
      <c r="C18" s="28" t="s">
        <v>112</v>
      </c>
      <c r="D18" s="94">
        <v>2</v>
      </c>
      <c r="E18" s="101" t="s">
        <v>111</v>
      </c>
      <c r="F18" s="101"/>
      <c r="G18" s="102"/>
      <c r="H18" s="94"/>
      <c r="I18" s="98">
        <v>5000</v>
      </c>
      <c r="J18" s="102"/>
      <c r="K18" s="94"/>
      <c r="L18" s="97">
        <f>I18*D18/1024</f>
        <v>9.765625</v>
      </c>
      <c r="M18" s="60"/>
      <c r="N18" s="58" t="s">
        <v>113</v>
      </c>
    </row>
    <row r="19" spans="2:14">
      <c r="B19" s="5"/>
      <c r="C19" s="28"/>
      <c r="D19" s="94"/>
      <c r="E19" s="101"/>
      <c r="F19" s="101"/>
      <c r="G19" s="102"/>
      <c r="H19" s="94"/>
      <c r="I19" s="94"/>
      <c r="J19" s="102"/>
      <c r="K19" s="94"/>
      <c r="L19" s="97"/>
      <c r="M19" s="60"/>
      <c r="N19" s="58"/>
    </row>
    <row r="20" spans="2:14">
      <c r="B20" s="6">
        <v>4</v>
      </c>
      <c r="C20" s="22" t="s">
        <v>114</v>
      </c>
      <c r="D20" s="99"/>
      <c r="E20" s="99"/>
      <c r="F20" s="99"/>
      <c r="G20" s="99"/>
      <c r="H20" s="99"/>
      <c r="I20" s="99"/>
      <c r="J20" s="99"/>
      <c r="K20" s="99"/>
      <c r="L20" s="97"/>
      <c r="M20" s="60"/>
      <c r="N20" s="58"/>
    </row>
    <row r="21" spans="2:14">
      <c r="B21" s="5"/>
      <c r="C21" s="14" t="s">
        <v>108</v>
      </c>
      <c r="D21" s="94">
        <v>1</v>
      </c>
      <c r="E21" s="100" t="s">
        <v>98</v>
      </c>
      <c r="F21" s="57"/>
      <c r="G21" s="98">
        <f>G15</f>
        <v>18</v>
      </c>
      <c r="H21" s="94">
        <f>G21*16</f>
        <v>288</v>
      </c>
      <c r="I21" s="94">
        <v>300</v>
      </c>
      <c r="J21" s="94">
        <f>G21*D21</f>
        <v>18</v>
      </c>
      <c r="K21" s="94">
        <f>H21*D21</f>
        <v>288</v>
      </c>
      <c r="L21" s="97">
        <f>I21*D21/1024</f>
        <v>0.29296875</v>
      </c>
      <c r="M21" s="60"/>
      <c r="N21" s="58"/>
    </row>
    <row r="22" spans="2:14">
      <c r="B22" s="5"/>
      <c r="C22" s="28" t="s">
        <v>109</v>
      </c>
      <c r="D22" s="94">
        <v>1</v>
      </c>
      <c r="E22" s="100" t="s">
        <v>98</v>
      </c>
      <c r="F22" s="57"/>
      <c r="G22" s="94"/>
      <c r="H22" s="94"/>
      <c r="I22" s="94"/>
      <c r="J22" s="94"/>
      <c r="K22" s="94"/>
      <c r="L22" s="97"/>
      <c r="M22" s="60"/>
      <c r="N22" s="58"/>
    </row>
    <row r="23" spans="2:14">
      <c r="B23" s="5"/>
      <c r="C23" s="28" t="s">
        <v>110</v>
      </c>
      <c r="D23" s="94">
        <v>1</v>
      </c>
      <c r="E23" s="101" t="s">
        <v>111</v>
      </c>
      <c r="F23" s="101"/>
      <c r="G23" s="102"/>
      <c r="H23" s="94"/>
      <c r="I23" s="98">
        <f>I17</f>
        <v>14000</v>
      </c>
      <c r="J23" s="102"/>
      <c r="K23" s="94"/>
      <c r="L23" s="97">
        <f>I23*D23/1024</f>
        <v>13.671875</v>
      </c>
      <c r="M23" s="60"/>
      <c r="N23" s="58"/>
    </row>
    <row r="24" spans="2:14">
      <c r="B24" s="5"/>
      <c r="C24" s="28"/>
      <c r="D24" s="94"/>
      <c r="E24" s="101"/>
      <c r="F24" s="101"/>
      <c r="G24" s="102"/>
      <c r="H24" s="94"/>
      <c r="I24" s="94"/>
      <c r="J24" s="102"/>
      <c r="K24" s="94"/>
      <c r="L24" s="97"/>
      <c r="M24" s="60"/>
      <c r="N24" s="58"/>
    </row>
    <row r="25" spans="2:14">
      <c r="B25" s="6">
        <v>5</v>
      </c>
      <c r="C25" s="22" t="s">
        <v>115</v>
      </c>
      <c r="D25" s="99"/>
      <c r="E25" s="99"/>
      <c r="F25" s="99"/>
      <c r="G25" s="99"/>
      <c r="H25" s="99"/>
      <c r="I25" s="99"/>
      <c r="J25" s="99"/>
      <c r="K25" s="99"/>
      <c r="L25" s="97"/>
      <c r="M25" s="60"/>
      <c r="N25" s="58"/>
    </row>
    <row r="26" spans="2:14" ht="72">
      <c r="B26" s="5"/>
      <c r="C26" s="29" t="s">
        <v>61</v>
      </c>
      <c r="D26" s="103">
        <v>1</v>
      </c>
      <c r="E26" s="104" t="s">
        <v>116</v>
      </c>
      <c r="F26" s="61" t="s">
        <v>117</v>
      </c>
      <c r="G26" s="94"/>
      <c r="H26" s="94"/>
      <c r="I26" s="98">
        <f>Data!C11</f>
        <v>7100</v>
      </c>
      <c r="J26" s="94"/>
      <c r="K26" s="94"/>
      <c r="L26" s="97">
        <f>I26/1024</f>
        <v>6.93359375</v>
      </c>
      <c r="M26" s="60"/>
      <c r="N26" s="58"/>
    </row>
    <row r="27" spans="2:14">
      <c r="B27" s="5"/>
      <c r="C27" s="62"/>
      <c r="D27" s="94"/>
      <c r="E27" s="100"/>
      <c r="F27" s="100"/>
      <c r="G27" s="94"/>
      <c r="H27" s="94"/>
      <c r="I27" s="94"/>
      <c r="J27" s="94"/>
      <c r="K27" s="94"/>
      <c r="L27" s="97"/>
      <c r="M27" s="60"/>
      <c r="N27" s="58"/>
    </row>
    <row r="28" spans="2:14">
      <c r="B28" s="6">
        <v>6</v>
      </c>
      <c r="C28" s="22" t="s">
        <v>118</v>
      </c>
      <c r="D28" s="99"/>
      <c r="E28" s="99"/>
      <c r="F28" s="99"/>
      <c r="G28" s="99"/>
      <c r="H28" s="99"/>
      <c r="I28" s="99"/>
      <c r="J28" s="99"/>
      <c r="K28" s="99"/>
      <c r="L28" s="97"/>
      <c r="M28" s="60"/>
      <c r="N28" s="58"/>
    </row>
    <row r="29" spans="2:14">
      <c r="B29" s="5"/>
      <c r="C29" s="29" t="s">
        <v>119</v>
      </c>
      <c r="D29" s="94">
        <v>1</v>
      </c>
      <c r="E29" s="95" t="s">
        <v>120</v>
      </c>
      <c r="F29" s="95"/>
      <c r="G29" s="94"/>
      <c r="H29" s="94"/>
      <c r="I29" s="94"/>
      <c r="J29" s="94"/>
      <c r="K29" s="94"/>
      <c r="L29" s="97"/>
      <c r="M29" s="14"/>
      <c r="N29" s="58"/>
    </row>
    <row r="30" spans="2:14">
      <c r="B30" s="5"/>
      <c r="C30" s="29" t="s">
        <v>50</v>
      </c>
      <c r="D30" s="94">
        <v>1</v>
      </c>
      <c r="E30" s="47" t="s">
        <v>121</v>
      </c>
      <c r="F30" s="95"/>
      <c r="G30" s="94"/>
      <c r="H30" s="94"/>
      <c r="I30" s="94">
        <v>1024</v>
      </c>
      <c r="J30" s="94"/>
      <c r="K30" s="94"/>
      <c r="L30" s="97">
        <f>I30/1024</f>
        <v>1</v>
      </c>
      <c r="M30" s="14"/>
      <c r="N30" s="58"/>
    </row>
    <row r="31" spans="2:14">
      <c r="B31" s="5"/>
      <c r="C31" s="29" t="s">
        <v>122</v>
      </c>
      <c r="D31" s="94">
        <v>1</v>
      </c>
      <c r="E31" s="95"/>
      <c r="F31" s="95"/>
      <c r="G31" s="94"/>
      <c r="H31" s="94"/>
      <c r="I31" s="94"/>
      <c r="J31" s="94"/>
      <c r="K31" s="94"/>
      <c r="L31" s="97"/>
      <c r="M31" s="14"/>
      <c r="N31" s="58" t="s">
        <v>123</v>
      </c>
    </row>
    <row r="32" spans="2:14">
      <c r="B32" s="5"/>
      <c r="C32" s="29" t="s">
        <v>100</v>
      </c>
      <c r="D32" s="94">
        <v>1</v>
      </c>
      <c r="E32" s="95"/>
      <c r="F32" s="95"/>
      <c r="G32" s="94">
        <v>2</v>
      </c>
      <c r="H32" s="94">
        <v>8</v>
      </c>
      <c r="I32" s="94">
        <v>256</v>
      </c>
      <c r="J32" s="94">
        <v>4</v>
      </c>
      <c r="K32" s="94">
        <v>8</v>
      </c>
      <c r="L32" s="97">
        <f>I32/1024</f>
        <v>0.25</v>
      </c>
      <c r="M32" s="14"/>
      <c r="N32" s="58" t="s">
        <v>124</v>
      </c>
    </row>
    <row r="33" spans="2:14">
      <c r="B33" s="5"/>
      <c r="C33" s="29" t="s">
        <v>125</v>
      </c>
      <c r="D33" s="94">
        <v>1</v>
      </c>
      <c r="E33" s="47" t="s">
        <v>126</v>
      </c>
      <c r="F33" s="95"/>
      <c r="G33" s="94"/>
      <c r="H33" s="94"/>
      <c r="I33" s="94"/>
      <c r="J33" s="94"/>
      <c r="K33" s="94"/>
      <c r="L33" s="97"/>
      <c r="M33" s="63"/>
      <c r="N33" s="58"/>
    </row>
    <row r="34" spans="2:14">
      <c r="B34" s="5"/>
      <c r="C34" s="64" t="s">
        <v>127</v>
      </c>
      <c r="D34" s="105">
        <v>1</v>
      </c>
      <c r="E34" s="47" t="s">
        <v>128</v>
      </c>
      <c r="F34" s="100"/>
      <c r="G34" s="94"/>
      <c r="H34" s="94"/>
      <c r="I34" s="94"/>
      <c r="J34" s="94"/>
      <c r="K34" s="94"/>
      <c r="L34" s="97"/>
      <c r="M34" s="63"/>
      <c r="N34" s="58"/>
    </row>
    <row r="35" spans="2:14">
      <c r="B35" s="5"/>
    </row>
    <row r="37" spans="2:14">
      <c r="C37" s="23"/>
    </row>
    <row r="38" spans="2:14">
      <c r="C38" s="23"/>
      <c r="G38" s="4"/>
      <c r="H38" s="4"/>
      <c r="I38" s="4"/>
      <c r="J38" s="4"/>
      <c r="K38" s="4"/>
      <c r="L38" s="4"/>
      <c r="M38" s="4"/>
      <c r="N38" s="4"/>
    </row>
    <row r="39" spans="2:14">
      <c r="C39" s="24"/>
      <c r="G39" s="4"/>
      <c r="H39" s="4"/>
      <c r="I39" s="4"/>
      <c r="J39" s="4"/>
      <c r="K39" s="4"/>
      <c r="L39" s="4"/>
      <c r="M39" s="4"/>
      <c r="N39" s="4"/>
    </row>
    <row r="40" spans="2:14" ht="17.45">
      <c r="C40" s="25"/>
      <c r="G40" s="4"/>
      <c r="H40" s="4"/>
      <c r="I40" s="4"/>
      <c r="J40" s="4"/>
      <c r="K40" s="4"/>
      <c r="L40" s="4"/>
      <c r="M40" s="4"/>
      <c r="N40" s="4"/>
    </row>
    <row r="41" spans="2:14">
      <c r="G41" s="4"/>
      <c r="H41" s="4"/>
      <c r="I41" s="4"/>
      <c r="J41" s="4"/>
      <c r="K41" s="4"/>
      <c r="L41" s="4"/>
      <c r="M41" s="4"/>
      <c r="N41" s="4"/>
    </row>
    <row r="42" spans="2:14">
      <c r="C42" s="26"/>
      <c r="G42" s="4"/>
      <c r="H42" s="4"/>
      <c r="I42" s="4"/>
      <c r="J42" s="4"/>
      <c r="K42" s="4"/>
      <c r="L42" s="4"/>
      <c r="M42" s="4"/>
      <c r="N42" s="4"/>
    </row>
    <row r="43" spans="2:14">
      <c r="C43" s="23"/>
      <c r="G43" s="4"/>
      <c r="H43" s="4"/>
      <c r="I43" s="4"/>
      <c r="J43" s="4"/>
      <c r="K43" s="4"/>
      <c r="L43" s="4"/>
      <c r="M43" s="4"/>
      <c r="N43" s="4"/>
    </row>
    <row r="44" spans="2:14">
      <c r="C44" s="23"/>
      <c r="G44" s="4"/>
      <c r="H44" s="4"/>
      <c r="I44" s="4"/>
      <c r="J44" s="4"/>
      <c r="K44" s="4"/>
      <c r="L44" s="4"/>
      <c r="M44" s="4"/>
      <c r="N44" s="4"/>
    </row>
    <row r="45" spans="2:14">
      <c r="C45" s="23"/>
      <c r="G45" s="4"/>
      <c r="H45" s="4"/>
      <c r="I45" s="4"/>
      <c r="J45" s="4"/>
      <c r="K45" s="4"/>
      <c r="L45" s="4"/>
      <c r="M45" s="4"/>
      <c r="N45" s="4"/>
    </row>
    <row r="46" spans="2:14">
      <c r="C46" s="23"/>
      <c r="G46" s="4"/>
      <c r="H46" s="4"/>
      <c r="I46" s="4"/>
      <c r="J46" s="4"/>
      <c r="K46" s="4"/>
      <c r="L46" s="4"/>
      <c r="M46" s="4"/>
      <c r="N46" s="4"/>
    </row>
    <row r="47" spans="2:14">
      <c r="C47" s="27"/>
      <c r="G47" s="4"/>
      <c r="H47" s="4"/>
      <c r="I47" s="4"/>
      <c r="J47" s="4"/>
      <c r="K47" s="4"/>
      <c r="L47" s="4"/>
      <c r="M47" s="4"/>
      <c r="N47" s="4"/>
    </row>
    <row r="48" spans="2:14">
      <c r="G48" s="4"/>
      <c r="H48" s="4"/>
      <c r="I48" s="4"/>
      <c r="J48" s="4"/>
      <c r="K48" s="4"/>
      <c r="L48" s="4"/>
      <c r="M48" s="4"/>
      <c r="N48" s="4"/>
    </row>
    <row r="49" spans="7:14">
      <c r="G49" s="4"/>
      <c r="H49" s="4"/>
      <c r="I49" s="4"/>
      <c r="J49" s="4"/>
      <c r="K49" s="4"/>
      <c r="L49" s="4"/>
      <c r="M49" s="4"/>
      <c r="N49" s="4"/>
    </row>
  </sheetData>
  <mergeCells count="2">
    <mergeCell ref="N5:N7"/>
    <mergeCell ref="B2:N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CAB43-421F-413E-8B95-4801A5E9AB6D}">
  <sheetPr codeName="Sheet4"/>
  <dimension ref="B1:O50"/>
  <sheetViews>
    <sheetView showGridLines="0" topLeftCell="A5" zoomScale="70" zoomScaleNormal="70" workbookViewId="0">
      <selection activeCell="C27" sqref="C27"/>
    </sheetView>
  </sheetViews>
  <sheetFormatPr defaultColWidth="8.85546875" defaultRowHeight="14.45"/>
  <cols>
    <col min="2" max="2" width="7.42578125" customWidth="1"/>
    <col min="3" max="3" width="76" customWidth="1"/>
    <col min="4" max="4" width="14.28515625" style="5" customWidth="1"/>
    <col min="5" max="5" width="23.28515625" style="4" customWidth="1"/>
    <col min="6" max="6" width="25.140625" style="4" customWidth="1"/>
    <col min="7" max="8" width="9.28515625" style="5" bestFit="1" customWidth="1"/>
    <col min="9" max="9" width="11.42578125" style="5" customWidth="1"/>
    <col min="10" max="10" width="8.42578125" style="5" bestFit="1" customWidth="1"/>
    <col min="11" max="11" width="8.42578125" style="5" customWidth="1"/>
    <col min="12" max="12" width="11.42578125" style="5" customWidth="1"/>
    <col min="13" max="13" width="2.140625" hidden="1" customWidth="1"/>
    <col min="14" max="14" width="38.42578125" customWidth="1"/>
  </cols>
  <sheetData>
    <row r="1" spans="2:15" ht="18">
      <c r="D1" s="7"/>
      <c r="E1" s="7"/>
      <c r="F1" s="7"/>
      <c r="G1" s="7"/>
      <c r="H1" s="7"/>
      <c r="I1" s="7"/>
      <c r="J1" s="7"/>
      <c r="K1" s="7"/>
      <c r="L1" s="7"/>
    </row>
    <row r="2" spans="2:15" ht="30" customHeight="1">
      <c r="B2" s="121" t="s">
        <v>84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3" spans="2:15" s="4" customFormat="1" ht="69.75" customHeight="1">
      <c r="B3" s="43" t="s">
        <v>85</v>
      </c>
      <c r="C3" s="43" t="s">
        <v>86</v>
      </c>
      <c r="D3" s="43" t="s">
        <v>87</v>
      </c>
      <c r="E3" s="43" t="s">
        <v>88</v>
      </c>
      <c r="F3" s="43" t="s">
        <v>89</v>
      </c>
      <c r="G3" s="43" t="s">
        <v>90</v>
      </c>
      <c r="H3" s="43" t="s">
        <v>91</v>
      </c>
      <c r="I3" s="43" t="s">
        <v>92</v>
      </c>
      <c r="J3" s="43" t="s">
        <v>93</v>
      </c>
      <c r="K3" s="43" t="s">
        <v>94</v>
      </c>
      <c r="L3" s="43" t="s">
        <v>95</v>
      </c>
      <c r="M3" s="44"/>
      <c r="N3" s="43" t="s">
        <v>89</v>
      </c>
      <c r="O3" s="37"/>
    </row>
    <row r="4" spans="2:15">
      <c r="B4" s="12">
        <v>1</v>
      </c>
      <c r="C4" s="11" t="s">
        <v>96</v>
      </c>
      <c r="D4" s="106"/>
      <c r="E4" s="107"/>
      <c r="F4" s="107"/>
      <c r="G4" s="106"/>
      <c r="H4" s="106"/>
      <c r="I4" s="106"/>
      <c r="J4" s="106"/>
      <c r="K4" s="106"/>
      <c r="L4" s="106"/>
      <c r="N4" s="41"/>
    </row>
    <row r="5" spans="2:15">
      <c r="B5" s="9"/>
      <c r="C5" s="10" t="s">
        <v>97</v>
      </c>
      <c r="D5" s="52">
        <v>1</v>
      </c>
      <c r="E5" s="108" t="s">
        <v>98</v>
      </c>
      <c r="F5" s="109"/>
      <c r="G5" s="52">
        <v>2</v>
      </c>
      <c r="H5" s="52">
        <v>16</v>
      </c>
      <c r="I5" s="52">
        <v>256</v>
      </c>
      <c r="J5" s="52">
        <f t="shared" ref="J5:J8" si="0">G5*D5</f>
        <v>2</v>
      </c>
      <c r="K5" s="52">
        <f t="shared" ref="K5:K8" si="1">H5*D5</f>
        <v>16</v>
      </c>
      <c r="L5" s="110">
        <f t="shared" ref="L5:L7" si="2">I5*D5/1024</f>
        <v>0.25</v>
      </c>
      <c r="N5" s="131" t="s">
        <v>99</v>
      </c>
    </row>
    <row r="6" spans="2:15">
      <c r="B6" s="9"/>
      <c r="C6" s="10" t="s">
        <v>100</v>
      </c>
      <c r="D6" s="52">
        <v>1</v>
      </c>
      <c r="E6" s="108" t="s">
        <v>98</v>
      </c>
      <c r="F6" s="21"/>
      <c r="G6" s="52">
        <v>2</v>
      </c>
      <c r="H6" s="52">
        <v>16</v>
      </c>
      <c r="I6" s="52">
        <v>256</v>
      </c>
      <c r="J6" s="52">
        <f t="shared" si="0"/>
        <v>2</v>
      </c>
      <c r="K6" s="52">
        <f t="shared" si="1"/>
        <v>16</v>
      </c>
      <c r="L6" s="110">
        <f t="shared" si="2"/>
        <v>0.25</v>
      </c>
      <c r="N6" s="131"/>
    </row>
    <row r="7" spans="2:15">
      <c r="B7" s="9"/>
      <c r="C7" s="10" t="s">
        <v>101</v>
      </c>
      <c r="D7" s="52">
        <v>3</v>
      </c>
      <c r="E7" s="108" t="s">
        <v>102</v>
      </c>
      <c r="F7" s="21"/>
      <c r="G7" s="52">
        <v>4</v>
      </c>
      <c r="H7" s="52">
        <v>16</v>
      </c>
      <c r="I7" s="52">
        <v>256</v>
      </c>
      <c r="J7" s="52">
        <f t="shared" si="0"/>
        <v>12</v>
      </c>
      <c r="K7" s="52">
        <f t="shared" si="1"/>
        <v>48</v>
      </c>
      <c r="L7" s="110">
        <f t="shared" si="2"/>
        <v>0.75</v>
      </c>
      <c r="N7" s="131"/>
    </row>
    <row r="8" spans="2:15">
      <c r="B8" s="5"/>
      <c r="C8" s="28" t="s">
        <v>103</v>
      </c>
      <c r="D8" s="111">
        <f>Data!D3</f>
        <v>7</v>
      </c>
      <c r="E8" s="108" t="s">
        <v>102</v>
      </c>
      <c r="F8" s="15"/>
      <c r="G8" s="52">
        <v>8</v>
      </c>
      <c r="H8" s="52">
        <v>32</v>
      </c>
      <c r="I8" s="52">
        <v>256</v>
      </c>
      <c r="J8" s="52">
        <f t="shared" si="0"/>
        <v>56</v>
      </c>
      <c r="K8" s="52">
        <f t="shared" si="1"/>
        <v>224</v>
      </c>
      <c r="L8" s="110">
        <f>I8*D8/1024</f>
        <v>1.75</v>
      </c>
      <c r="N8" s="41"/>
      <c r="O8" s="26"/>
    </row>
    <row r="9" spans="2:15">
      <c r="B9" s="5"/>
      <c r="C9" s="3"/>
      <c r="D9" s="52"/>
      <c r="E9" s="108"/>
      <c r="F9" s="15"/>
      <c r="G9" s="52"/>
      <c r="H9" s="52"/>
      <c r="I9" s="52"/>
      <c r="J9" s="52"/>
      <c r="K9" s="52"/>
      <c r="L9" s="110"/>
      <c r="N9" s="41"/>
      <c r="O9" s="23"/>
    </row>
    <row r="10" spans="2:15">
      <c r="B10" s="6">
        <v>2</v>
      </c>
      <c r="C10" s="11" t="s">
        <v>104</v>
      </c>
      <c r="D10" s="52"/>
      <c r="E10" s="108"/>
      <c r="F10" s="15"/>
      <c r="G10" s="52"/>
      <c r="H10" s="52"/>
      <c r="I10" s="52"/>
      <c r="J10" s="52"/>
      <c r="K10" s="52"/>
      <c r="L10" s="110"/>
      <c r="N10" s="41"/>
      <c r="O10" s="23"/>
    </row>
    <row r="11" spans="2:15">
      <c r="B11" s="5"/>
      <c r="C11" s="3" t="s">
        <v>129</v>
      </c>
      <c r="D11" s="52">
        <v>3</v>
      </c>
      <c r="E11" s="108" t="s">
        <v>102</v>
      </c>
      <c r="F11" s="15"/>
      <c r="G11" s="52">
        <v>4</v>
      </c>
      <c r="H11" s="52">
        <v>32</v>
      </c>
      <c r="I11" s="52">
        <v>256</v>
      </c>
      <c r="J11" s="52">
        <f t="shared" ref="J11" si="3">G11*D11</f>
        <v>12</v>
      </c>
      <c r="K11" s="52">
        <f t="shared" ref="K11" si="4">H11*D11</f>
        <v>96</v>
      </c>
      <c r="L11" s="110">
        <f t="shared" ref="L11:L12" si="5">I11*D11/1024</f>
        <v>0.75</v>
      </c>
      <c r="N11" s="41"/>
      <c r="O11" s="23"/>
    </row>
    <row r="12" spans="2:15">
      <c r="B12" s="5"/>
      <c r="C12" s="3" t="s">
        <v>106</v>
      </c>
      <c r="D12" s="52">
        <v>1</v>
      </c>
      <c r="E12" s="108"/>
      <c r="F12" s="15"/>
      <c r="G12" s="52"/>
      <c r="H12" s="52"/>
      <c r="I12" s="52">
        <f>I27+D8*1024</f>
        <v>14968</v>
      </c>
      <c r="J12" s="52"/>
      <c r="K12" s="52"/>
      <c r="L12" s="110">
        <f t="shared" si="5"/>
        <v>14.6171875</v>
      </c>
      <c r="N12" s="41"/>
      <c r="O12" s="23"/>
    </row>
    <row r="13" spans="2:15">
      <c r="B13" s="5"/>
      <c r="D13" s="52"/>
      <c r="E13" s="108"/>
      <c r="F13" s="108"/>
      <c r="G13" s="52"/>
      <c r="H13" s="52"/>
      <c r="I13" s="52"/>
      <c r="J13" s="52"/>
      <c r="K13" s="52"/>
      <c r="L13" s="110"/>
      <c r="N13" s="41"/>
    </row>
    <row r="14" spans="2:15">
      <c r="B14" s="6">
        <v>3</v>
      </c>
      <c r="C14" s="22" t="s">
        <v>107</v>
      </c>
      <c r="D14" s="112"/>
      <c r="E14" s="112"/>
      <c r="F14" s="112"/>
      <c r="G14" s="112"/>
      <c r="H14" s="112"/>
      <c r="I14" s="112"/>
      <c r="J14" s="112"/>
      <c r="K14" s="112"/>
      <c r="L14" s="110"/>
      <c r="M14" s="2"/>
      <c r="N14" s="41"/>
    </row>
    <row r="15" spans="2:15">
      <c r="B15" s="5"/>
      <c r="C15" s="14" t="s">
        <v>108</v>
      </c>
      <c r="D15" s="52">
        <v>2</v>
      </c>
      <c r="E15" s="113" t="s">
        <v>98</v>
      </c>
      <c r="F15" s="15"/>
      <c r="G15" s="111">
        <f>Data!D6</f>
        <v>19</v>
      </c>
      <c r="H15" s="52">
        <f>G15*16</f>
        <v>304</v>
      </c>
      <c r="I15" s="52">
        <v>300</v>
      </c>
      <c r="J15" s="52">
        <f>G15*D15</f>
        <v>38</v>
      </c>
      <c r="K15" s="52">
        <f>H15*D15</f>
        <v>608</v>
      </c>
      <c r="L15" s="110">
        <f>I15*D15/1024</f>
        <v>0.5859375</v>
      </c>
      <c r="M15" s="2"/>
      <c r="N15" s="41"/>
    </row>
    <row r="16" spans="2:15">
      <c r="B16" s="5"/>
      <c r="C16" s="28" t="s">
        <v>109</v>
      </c>
      <c r="D16" s="52">
        <v>2</v>
      </c>
      <c r="E16" s="113" t="s">
        <v>98</v>
      </c>
      <c r="F16" s="15"/>
      <c r="G16" s="52"/>
      <c r="H16" s="52"/>
      <c r="I16" s="52"/>
      <c r="J16" s="52"/>
      <c r="K16" s="52"/>
      <c r="L16" s="110"/>
      <c r="M16" s="2"/>
      <c r="N16" s="41"/>
    </row>
    <row r="17" spans="2:14">
      <c r="B17" s="5"/>
      <c r="C17" s="28" t="s">
        <v>110</v>
      </c>
      <c r="D17" s="52">
        <v>2</v>
      </c>
      <c r="E17" s="114" t="s">
        <v>111</v>
      </c>
      <c r="F17" s="114"/>
      <c r="G17" s="115"/>
      <c r="H17" s="52"/>
      <c r="I17" s="111">
        <f>Data!D10</f>
        <v>15000</v>
      </c>
      <c r="J17" s="115"/>
      <c r="K17" s="52"/>
      <c r="L17" s="110">
        <f>I17*D17/1024</f>
        <v>29.296875</v>
      </c>
      <c r="M17" s="2"/>
      <c r="N17" s="41"/>
    </row>
    <row r="18" spans="2:14">
      <c r="B18" s="5"/>
      <c r="C18" s="28" t="s">
        <v>112</v>
      </c>
      <c r="D18" s="94">
        <v>2</v>
      </c>
      <c r="E18" s="101" t="s">
        <v>111</v>
      </c>
      <c r="F18" s="101"/>
      <c r="G18" s="102"/>
      <c r="H18" s="94"/>
      <c r="I18" s="98">
        <v>5000</v>
      </c>
      <c r="J18" s="102"/>
      <c r="K18" s="94"/>
      <c r="L18" s="97">
        <f>I18*D18/1024</f>
        <v>9.765625</v>
      </c>
      <c r="M18" s="60"/>
      <c r="N18" s="58" t="s">
        <v>113</v>
      </c>
    </row>
    <row r="19" spans="2:14">
      <c r="B19" s="5"/>
      <c r="C19" s="28"/>
      <c r="D19" s="94"/>
      <c r="E19" s="101"/>
      <c r="F19" s="101"/>
      <c r="G19" s="102"/>
      <c r="H19" s="94"/>
      <c r="I19" s="94"/>
      <c r="J19" s="102"/>
      <c r="K19" s="94"/>
      <c r="L19" s="97"/>
      <c r="M19" s="60"/>
      <c r="N19" s="58"/>
    </row>
    <row r="20" spans="2:14">
      <c r="B20" s="6">
        <v>4</v>
      </c>
      <c r="C20" s="22" t="s">
        <v>114</v>
      </c>
      <c r="D20" s="99"/>
      <c r="E20" s="99"/>
      <c r="F20" s="99"/>
      <c r="G20" s="99"/>
      <c r="H20" s="99"/>
      <c r="I20" s="99"/>
      <c r="J20" s="99"/>
      <c r="K20" s="99"/>
      <c r="L20" s="97"/>
      <c r="M20" s="60"/>
      <c r="N20" s="58"/>
    </row>
    <row r="21" spans="2:14">
      <c r="B21" s="5"/>
      <c r="C21" s="14" t="s">
        <v>108</v>
      </c>
      <c r="D21" s="94">
        <v>1</v>
      </c>
      <c r="E21" s="100" t="s">
        <v>98</v>
      </c>
      <c r="F21" s="57"/>
      <c r="G21" s="98">
        <f>G15</f>
        <v>19</v>
      </c>
      <c r="H21" s="94">
        <f>G21*16</f>
        <v>304</v>
      </c>
      <c r="I21" s="94">
        <v>300</v>
      </c>
      <c r="J21" s="94">
        <f>G21*D21</f>
        <v>19</v>
      </c>
      <c r="K21" s="94">
        <f>H21*D21</f>
        <v>304</v>
      </c>
      <c r="L21" s="97">
        <f>I21*D21/1024</f>
        <v>0.29296875</v>
      </c>
      <c r="M21" s="60"/>
      <c r="N21" s="58"/>
    </row>
    <row r="22" spans="2:14">
      <c r="B22" s="5"/>
      <c r="C22" s="28" t="s">
        <v>109</v>
      </c>
      <c r="D22" s="94">
        <v>1</v>
      </c>
      <c r="E22" s="100" t="s">
        <v>98</v>
      </c>
      <c r="F22" s="57"/>
      <c r="G22" s="94"/>
      <c r="H22" s="94"/>
      <c r="I22" s="94"/>
      <c r="J22" s="94"/>
      <c r="K22" s="94"/>
      <c r="L22" s="97"/>
      <c r="M22" s="60"/>
      <c r="N22" s="58"/>
    </row>
    <row r="23" spans="2:14">
      <c r="B23" s="5"/>
      <c r="C23" s="28" t="s">
        <v>110</v>
      </c>
      <c r="D23" s="94">
        <v>1</v>
      </c>
      <c r="E23" s="101" t="s">
        <v>111</v>
      </c>
      <c r="F23" s="101"/>
      <c r="G23" s="102"/>
      <c r="H23" s="94"/>
      <c r="I23" s="98">
        <f>I17</f>
        <v>15000</v>
      </c>
      <c r="J23" s="102"/>
      <c r="K23" s="94"/>
      <c r="L23" s="97">
        <f>I23*D23/1024</f>
        <v>14.6484375</v>
      </c>
      <c r="M23" s="60"/>
      <c r="N23" s="58"/>
    </row>
    <row r="24" spans="2:14">
      <c r="B24" s="5"/>
      <c r="C24" s="28"/>
      <c r="D24" s="94"/>
      <c r="E24" s="101"/>
      <c r="F24" s="101"/>
      <c r="G24" s="102"/>
      <c r="H24" s="94"/>
      <c r="I24" s="94"/>
      <c r="J24" s="102"/>
      <c r="K24" s="94"/>
      <c r="L24" s="97"/>
      <c r="M24" s="60"/>
      <c r="N24" s="58"/>
    </row>
    <row r="25" spans="2:14">
      <c r="B25" s="5"/>
      <c r="C25" s="3"/>
      <c r="D25" s="52"/>
      <c r="E25" s="114"/>
      <c r="F25" s="114"/>
      <c r="G25" s="115"/>
      <c r="H25" s="52"/>
      <c r="I25" s="52"/>
      <c r="J25" s="115"/>
      <c r="K25" s="52"/>
      <c r="L25" s="110"/>
      <c r="M25" s="2"/>
      <c r="N25" s="41"/>
    </row>
    <row r="26" spans="2:14">
      <c r="B26" s="6">
        <v>5</v>
      </c>
      <c r="C26" s="8" t="s">
        <v>115</v>
      </c>
      <c r="D26" s="112"/>
      <c r="E26" s="112"/>
      <c r="F26" s="112"/>
      <c r="G26" s="112"/>
      <c r="H26" s="112"/>
      <c r="I26" s="112"/>
      <c r="J26" s="112"/>
      <c r="K26" s="112"/>
      <c r="L26" s="110"/>
      <c r="M26" s="2"/>
      <c r="N26" s="41"/>
    </row>
    <row r="27" spans="2:14" ht="72">
      <c r="B27" s="5"/>
      <c r="C27" s="29" t="s">
        <v>61</v>
      </c>
      <c r="D27" s="116">
        <v>1</v>
      </c>
      <c r="E27" s="117" t="s">
        <v>116</v>
      </c>
      <c r="F27" s="20" t="s">
        <v>117</v>
      </c>
      <c r="G27" s="52"/>
      <c r="H27" s="52"/>
      <c r="I27" s="111">
        <f>Data!D11</f>
        <v>7800</v>
      </c>
      <c r="J27" s="52"/>
      <c r="K27" s="52"/>
      <c r="L27" s="110">
        <f>I27/1024</f>
        <v>7.6171875</v>
      </c>
      <c r="M27" s="2"/>
      <c r="N27" s="41"/>
    </row>
    <row r="28" spans="2:14">
      <c r="B28" s="5"/>
      <c r="C28" s="1"/>
      <c r="D28" s="52"/>
      <c r="E28" s="113"/>
      <c r="F28" s="113"/>
      <c r="G28" s="52"/>
      <c r="H28" s="52"/>
      <c r="I28" s="52"/>
      <c r="J28" s="52"/>
      <c r="K28" s="52"/>
      <c r="L28" s="110"/>
      <c r="M28" s="2"/>
      <c r="N28" s="41"/>
    </row>
    <row r="29" spans="2:14">
      <c r="B29" s="6">
        <v>6</v>
      </c>
      <c r="C29" s="8" t="s">
        <v>118</v>
      </c>
      <c r="D29" s="112"/>
      <c r="E29" s="112"/>
      <c r="F29" s="112"/>
      <c r="G29" s="112"/>
      <c r="H29" s="112"/>
      <c r="I29" s="112"/>
      <c r="J29" s="112"/>
      <c r="K29" s="112"/>
      <c r="L29" s="110"/>
      <c r="M29" s="2"/>
      <c r="N29" s="41"/>
    </row>
    <row r="30" spans="2:14">
      <c r="B30" s="5"/>
      <c r="C30" s="18" t="s">
        <v>119</v>
      </c>
      <c r="D30" s="52">
        <v>1</v>
      </c>
      <c r="E30" s="108" t="s">
        <v>120</v>
      </c>
      <c r="F30" s="108"/>
      <c r="G30" s="52"/>
      <c r="H30" s="52"/>
      <c r="I30" s="52"/>
      <c r="J30" s="52"/>
      <c r="K30" s="52"/>
      <c r="L30" s="110"/>
      <c r="N30" s="41"/>
    </row>
    <row r="31" spans="2:14">
      <c r="B31" s="5"/>
      <c r="C31" s="18" t="s">
        <v>50</v>
      </c>
      <c r="D31" s="52">
        <v>1</v>
      </c>
      <c r="E31" s="46" t="s">
        <v>121</v>
      </c>
      <c r="F31" s="108"/>
      <c r="G31" s="52"/>
      <c r="H31" s="52"/>
      <c r="I31" s="52">
        <v>1024</v>
      </c>
      <c r="J31" s="52"/>
      <c r="K31" s="52"/>
      <c r="L31" s="110">
        <f>I31/1024</f>
        <v>1</v>
      </c>
      <c r="N31" s="41"/>
    </row>
    <row r="32" spans="2:14">
      <c r="B32" s="5"/>
      <c r="C32" s="18" t="s">
        <v>122</v>
      </c>
      <c r="D32" s="52">
        <v>1</v>
      </c>
      <c r="E32" s="108"/>
      <c r="F32" s="108"/>
      <c r="G32" s="52"/>
      <c r="H32" s="52"/>
      <c r="I32" s="52"/>
      <c r="J32" s="52"/>
      <c r="K32" s="52"/>
      <c r="L32" s="110"/>
      <c r="N32" s="41" t="s">
        <v>123</v>
      </c>
    </row>
    <row r="33" spans="2:14">
      <c r="B33" s="5"/>
      <c r="C33" s="18" t="s">
        <v>100</v>
      </c>
      <c r="D33" s="52">
        <v>1</v>
      </c>
      <c r="E33" s="108"/>
      <c r="F33" s="108"/>
      <c r="G33" s="52">
        <v>2</v>
      </c>
      <c r="H33" s="52">
        <v>8</v>
      </c>
      <c r="I33" s="52">
        <v>256</v>
      </c>
      <c r="J33" s="52">
        <v>4</v>
      </c>
      <c r="K33" s="52">
        <v>8</v>
      </c>
      <c r="L33" s="110">
        <f>I33/1024</f>
        <v>0.25</v>
      </c>
      <c r="N33" s="41" t="s">
        <v>124</v>
      </c>
    </row>
    <row r="34" spans="2:14">
      <c r="B34" s="5"/>
      <c r="C34" s="18" t="s">
        <v>125</v>
      </c>
      <c r="D34" s="52">
        <v>1</v>
      </c>
      <c r="E34" s="46" t="s">
        <v>126</v>
      </c>
      <c r="F34" s="108"/>
      <c r="G34" s="52"/>
      <c r="H34" s="52"/>
      <c r="I34" s="52"/>
      <c r="J34" s="52"/>
      <c r="K34" s="52"/>
      <c r="L34" s="110"/>
      <c r="M34" s="118"/>
      <c r="N34" s="41"/>
    </row>
    <row r="35" spans="2:14">
      <c r="B35" s="5"/>
      <c r="C35" s="19" t="s">
        <v>127</v>
      </c>
      <c r="D35" s="119">
        <v>1</v>
      </c>
      <c r="E35" s="46" t="s">
        <v>128</v>
      </c>
      <c r="F35" s="113"/>
      <c r="G35" s="52"/>
      <c r="H35" s="52"/>
      <c r="I35" s="52"/>
      <c r="J35" s="52"/>
      <c r="K35" s="52"/>
      <c r="L35" s="110"/>
      <c r="M35" s="118"/>
      <c r="N35" s="41"/>
    </row>
    <row r="36" spans="2:14">
      <c r="B36" s="5"/>
    </row>
    <row r="38" spans="2:14">
      <c r="C38" s="23"/>
    </row>
    <row r="39" spans="2:14">
      <c r="C39" s="23"/>
      <c r="G39" s="4"/>
      <c r="H39" s="4"/>
      <c r="I39" s="4"/>
      <c r="J39" s="4"/>
      <c r="K39" s="4"/>
      <c r="L39" s="4"/>
      <c r="M39" s="4"/>
      <c r="N39" s="4"/>
    </row>
    <row r="40" spans="2:14">
      <c r="C40" s="24"/>
      <c r="G40" s="4"/>
      <c r="H40" s="4"/>
      <c r="I40" s="4"/>
      <c r="J40" s="4"/>
      <c r="K40" s="4"/>
      <c r="L40" s="4"/>
      <c r="M40" s="4"/>
      <c r="N40" s="4"/>
    </row>
    <row r="41" spans="2:14" ht="17.45">
      <c r="C41" s="25"/>
      <c r="G41" s="4"/>
      <c r="H41" s="4"/>
      <c r="I41" s="4"/>
      <c r="J41" s="4"/>
      <c r="K41" s="4"/>
      <c r="L41" s="4"/>
      <c r="M41" s="4"/>
      <c r="N41" s="4"/>
    </row>
    <row r="42" spans="2:14">
      <c r="G42" s="4"/>
      <c r="H42" s="4"/>
      <c r="I42" s="4"/>
      <c r="J42" s="4"/>
      <c r="K42" s="4"/>
      <c r="L42" s="4"/>
      <c r="M42" s="4"/>
      <c r="N42" s="4"/>
    </row>
    <row r="43" spans="2:14">
      <c r="C43" s="26"/>
      <c r="G43" s="4"/>
      <c r="H43" s="4"/>
      <c r="I43" s="4"/>
      <c r="J43" s="4"/>
      <c r="K43" s="4"/>
      <c r="L43" s="4"/>
      <c r="M43" s="4"/>
      <c r="N43" s="4"/>
    </row>
    <row r="44" spans="2:14">
      <c r="C44" s="23"/>
      <c r="G44" s="4"/>
      <c r="H44" s="4"/>
      <c r="I44" s="4"/>
      <c r="J44" s="4"/>
      <c r="K44" s="4"/>
      <c r="L44" s="4"/>
      <c r="M44" s="4"/>
      <c r="N44" s="4"/>
    </row>
    <row r="45" spans="2:14">
      <c r="C45" s="23"/>
      <c r="G45" s="4"/>
      <c r="H45" s="4"/>
      <c r="I45" s="4"/>
      <c r="J45" s="4"/>
      <c r="K45" s="4"/>
      <c r="L45" s="4"/>
      <c r="M45" s="4"/>
      <c r="N45" s="4"/>
    </row>
    <row r="46" spans="2:14">
      <c r="C46" s="23"/>
      <c r="G46" s="4"/>
      <c r="H46" s="4"/>
      <c r="I46" s="4"/>
      <c r="J46" s="4"/>
      <c r="K46" s="4"/>
      <c r="L46" s="4"/>
      <c r="M46" s="4"/>
      <c r="N46" s="4"/>
    </row>
    <row r="47" spans="2:14">
      <c r="C47" s="23"/>
      <c r="G47" s="4"/>
      <c r="H47" s="4"/>
      <c r="I47" s="4"/>
      <c r="J47" s="4"/>
      <c r="K47" s="4"/>
      <c r="L47" s="4"/>
      <c r="M47" s="4"/>
      <c r="N47" s="4"/>
    </row>
    <row r="48" spans="2:14">
      <c r="C48" s="27"/>
      <c r="G48" s="4"/>
      <c r="H48" s="4"/>
      <c r="I48" s="4"/>
      <c r="J48" s="4"/>
      <c r="K48" s="4"/>
      <c r="L48" s="4"/>
      <c r="M48" s="4"/>
      <c r="N48" s="4"/>
    </row>
    <row r="49" spans="7:14">
      <c r="G49" s="4"/>
      <c r="H49" s="4"/>
      <c r="I49" s="4"/>
      <c r="J49" s="4"/>
      <c r="K49" s="4"/>
      <c r="L49" s="4"/>
      <c r="M49" s="4"/>
      <c r="N49" s="4"/>
    </row>
    <row r="50" spans="7:14">
      <c r="G50" s="4"/>
      <c r="H50" s="4"/>
      <c r="I50" s="4"/>
      <c r="J50" s="4"/>
      <c r="K50" s="4"/>
      <c r="L50" s="4"/>
      <c r="M50" s="4"/>
      <c r="N50" s="4"/>
    </row>
  </sheetData>
  <mergeCells count="2">
    <mergeCell ref="N5:N7"/>
    <mergeCell ref="B2:N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7D467-9FE1-486F-B3CC-9F7A2F7FEF3F}">
  <sheetPr codeName="Sheet5"/>
  <dimension ref="B1:O50"/>
  <sheetViews>
    <sheetView showGridLines="0" topLeftCell="A9" zoomScale="70" zoomScaleNormal="70" workbookViewId="0">
      <selection activeCell="C27" sqref="C27"/>
    </sheetView>
  </sheetViews>
  <sheetFormatPr defaultColWidth="8.85546875" defaultRowHeight="14.45"/>
  <cols>
    <col min="2" max="2" width="7.42578125" customWidth="1"/>
    <col min="3" max="3" width="76" customWidth="1"/>
    <col min="4" max="4" width="14.28515625" style="5" customWidth="1"/>
    <col min="5" max="5" width="23.28515625" style="4" customWidth="1"/>
    <col min="6" max="6" width="25.140625" style="4" customWidth="1"/>
    <col min="7" max="8" width="9.28515625" style="5" bestFit="1" customWidth="1"/>
    <col min="9" max="9" width="11.42578125" style="5" customWidth="1"/>
    <col min="10" max="10" width="8.42578125" style="5" bestFit="1" customWidth="1"/>
    <col min="11" max="11" width="8.42578125" style="5" customWidth="1"/>
    <col min="12" max="12" width="11.42578125" style="5" customWidth="1"/>
    <col min="13" max="13" width="2.140625" hidden="1" customWidth="1"/>
    <col min="14" max="14" width="38.42578125" customWidth="1"/>
  </cols>
  <sheetData>
    <row r="1" spans="2:15" ht="18">
      <c r="D1" s="7"/>
      <c r="E1" s="7"/>
      <c r="F1" s="7"/>
      <c r="G1" s="7"/>
      <c r="H1" s="7"/>
      <c r="I1" s="7"/>
      <c r="J1" s="7"/>
      <c r="K1" s="7"/>
      <c r="L1" s="7"/>
    </row>
    <row r="2" spans="2:15" ht="30" customHeight="1">
      <c r="B2" s="121" t="s">
        <v>84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3" spans="2:15" s="4" customFormat="1" ht="69.75" customHeight="1">
      <c r="B3" s="43" t="s">
        <v>85</v>
      </c>
      <c r="C3" s="43" t="s">
        <v>86</v>
      </c>
      <c r="D3" s="43" t="s">
        <v>87</v>
      </c>
      <c r="E3" s="43" t="s">
        <v>88</v>
      </c>
      <c r="F3" s="43" t="s">
        <v>89</v>
      </c>
      <c r="G3" s="43" t="s">
        <v>90</v>
      </c>
      <c r="H3" s="43" t="s">
        <v>91</v>
      </c>
      <c r="I3" s="43" t="s">
        <v>92</v>
      </c>
      <c r="J3" s="43" t="s">
        <v>93</v>
      </c>
      <c r="K3" s="43" t="s">
        <v>94</v>
      </c>
      <c r="L3" s="43" t="s">
        <v>95</v>
      </c>
      <c r="M3" s="44"/>
      <c r="N3" s="43" t="s">
        <v>89</v>
      </c>
      <c r="O3" s="37"/>
    </row>
    <row r="4" spans="2:15">
      <c r="B4" s="12">
        <v>1</v>
      </c>
      <c r="C4" s="11" t="s">
        <v>96</v>
      </c>
      <c r="D4" s="106"/>
      <c r="E4" s="107"/>
      <c r="F4" s="107"/>
      <c r="G4" s="106"/>
      <c r="H4" s="106"/>
      <c r="I4" s="106"/>
      <c r="J4" s="106"/>
      <c r="K4" s="106"/>
      <c r="L4" s="106"/>
      <c r="N4" s="41"/>
    </row>
    <row r="5" spans="2:15">
      <c r="B5" s="9"/>
      <c r="C5" s="10" t="s">
        <v>97</v>
      </c>
      <c r="D5" s="52">
        <v>1</v>
      </c>
      <c r="E5" s="108" t="s">
        <v>98</v>
      </c>
      <c r="F5" s="109"/>
      <c r="G5" s="52">
        <v>2</v>
      </c>
      <c r="H5" s="52">
        <v>16</v>
      </c>
      <c r="I5" s="52">
        <v>256</v>
      </c>
      <c r="J5" s="52">
        <f t="shared" ref="J5:J8" si="0">G5*D5</f>
        <v>2</v>
      </c>
      <c r="K5" s="52">
        <f t="shared" ref="K5:K8" si="1">H5*D5</f>
        <v>16</v>
      </c>
      <c r="L5" s="110">
        <f t="shared" ref="L5:L7" si="2">I5*D5/1024</f>
        <v>0.25</v>
      </c>
      <c r="N5" s="131" t="s">
        <v>99</v>
      </c>
    </row>
    <row r="6" spans="2:15">
      <c r="B6" s="9"/>
      <c r="C6" s="10" t="s">
        <v>100</v>
      </c>
      <c r="D6" s="52">
        <v>1</v>
      </c>
      <c r="E6" s="108" t="s">
        <v>98</v>
      </c>
      <c r="F6" s="21"/>
      <c r="G6" s="52">
        <v>2</v>
      </c>
      <c r="H6" s="52">
        <v>16</v>
      </c>
      <c r="I6" s="52">
        <v>256</v>
      </c>
      <c r="J6" s="52">
        <f t="shared" si="0"/>
        <v>2</v>
      </c>
      <c r="K6" s="52">
        <f t="shared" si="1"/>
        <v>16</v>
      </c>
      <c r="L6" s="110">
        <f t="shared" si="2"/>
        <v>0.25</v>
      </c>
      <c r="N6" s="131"/>
    </row>
    <row r="7" spans="2:15">
      <c r="B7" s="9"/>
      <c r="C7" s="10" t="s">
        <v>101</v>
      </c>
      <c r="D7" s="52">
        <v>3</v>
      </c>
      <c r="E7" s="108" t="s">
        <v>102</v>
      </c>
      <c r="F7" s="21"/>
      <c r="G7" s="52">
        <v>4</v>
      </c>
      <c r="H7" s="52">
        <v>16</v>
      </c>
      <c r="I7" s="52">
        <v>256</v>
      </c>
      <c r="J7" s="52">
        <f t="shared" si="0"/>
        <v>12</v>
      </c>
      <c r="K7" s="52">
        <f t="shared" si="1"/>
        <v>48</v>
      </c>
      <c r="L7" s="110">
        <f t="shared" si="2"/>
        <v>0.75</v>
      </c>
      <c r="N7" s="131"/>
    </row>
    <row r="8" spans="2:15">
      <c r="B8" s="5"/>
      <c r="C8" s="28" t="s">
        <v>103</v>
      </c>
      <c r="D8" s="111">
        <f>Data!E3</f>
        <v>7</v>
      </c>
      <c r="E8" s="108" t="s">
        <v>102</v>
      </c>
      <c r="F8" s="15"/>
      <c r="G8" s="52">
        <v>8</v>
      </c>
      <c r="H8" s="52">
        <v>32</v>
      </c>
      <c r="I8" s="52">
        <v>256</v>
      </c>
      <c r="J8" s="52">
        <f t="shared" si="0"/>
        <v>56</v>
      </c>
      <c r="K8" s="52">
        <f t="shared" si="1"/>
        <v>224</v>
      </c>
      <c r="L8" s="110">
        <f>I8*D8/1024</f>
        <v>1.75</v>
      </c>
      <c r="N8" s="41"/>
      <c r="O8" s="26"/>
    </row>
    <row r="9" spans="2:15">
      <c r="B9" s="5"/>
      <c r="C9" s="3"/>
      <c r="D9" s="52"/>
      <c r="E9" s="108"/>
      <c r="F9" s="15"/>
      <c r="G9" s="52"/>
      <c r="H9" s="52"/>
      <c r="I9" s="52"/>
      <c r="J9" s="52"/>
      <c r="K9" s="52"/>
      <c r="L9" s="110"/>
      <c r="N9" s="41"/>
      <c r="O9" s="23"/>
    </row>
    <row r="10" spans="2:15">
      <c r="B10" s="6">
        <v>2</v>
      </c>
      <c r="C10" s="11" t="s">
        <v>104</v>
      </c>
      <c r="D10" s="52"/>
      <c r="E10" s="108"/>
      <c r="F10" s="15"/>
      <c r="G10" s="52"/>
      <c r="H10" s="52"/>
      <c r="I10" s="52"/>
      <c r="J10" s="52"/>
      <c r="K10" s="52"/>
      <c r="L10" s="110"/>
      <c r="N10" s="41"/>
      <c r="O10" s="23"/>
    </row>
    <row r="11" spans="2:15">
      <c r="B11" s="5"/>
      <c r="C11" s="3" t="s">
        <v>129</v>
      </c>
      <c r="D11" s="52">
        <v>3</v>
      </c>
      <c r="E11" s="108" t="s">
        <v>102</v>
      </c>
      <c r="F11" s="15"/>
      <c r="G11" s="52">
        <v>4</v>
      </c>
      <c r="H11" s="52">
        <v>32</v>
      </c>
      <c r="I11" s="52">
        <v>256</v>
      </c>
      <c r="J11" s="52">
        <f t="shared" ref="J11" si="3">G11*D11</f>
        <v>12</v>
      </c>
      <c r="K11" s="52">
        <f t="shared" ref="K11" si="4">H11*D11</f>
        <v>96</v>
      </c>
      <c r="L11" s="110">
        <f t="shared" ref="L11:L12" si="5">I11*D11/1024</f>
        <v>0.75</v>
      </c>
      <c r="N11" s="41"/>
      <c r="O11" s="23"/>
    </row>
    <row r="12" spans="2:15">
      <c r="B12" s="5"/>
      <c r="C12" s="3" t="s">
        <v>106</v>
      </c>
      <c r="D12" s="52">
        <v>1</v>
      </c>
      <c r="E12" s="108"/>
      <c r="F12" s="15"/>
      <c r="G12" s="52"/>
      <c r="H12" s="52"/>
      <c r="I12" s="52">
        <f>I27+D8*1024</f>
        <v>15668</v>
      </c>
      <c r="J12" s="52"/>
      <c r="K12" s="52"/>
      <c r="L12" s="110">
        <f t="shared" si="5"/>
        <v>15.30078125</v>
      </c>
      <c r="N12" s="41"/>
      <c r="O12" s="23"/>
    </row>
    <row r="13" spans="2:15">
      <c r="B13" s="5"/>
      <c r="D13" s="52"/>
      <c r="E13" s="108"/>
      <c r="F13" s="108"/>
      <c r="G13" s="52"/>
      <c r="H13" s="52"/>
      <c r="I13" s="52"/>
      <c r="J13" s="52"/>
      <c r="K13" s="52"/>
      <c r="L13" s="110"/>
      <c r="N13" s="41"/>
    </row>
    <row r="14" spans="2:15">
      <c r="B14" s="6">
        <v>3</v>
      </c>
      <c r="C14" s="22" t="s">
        <v>107</v>
      </c>
      <c r="D14" s="112"/>
      <c r="E14" s="112"/>
      <c r="F14" s="112"/>
      <c r="G14" s="112"/>
      <c r="H14" s="112"/>
      <c r="I14" s="112"/>
      <c r="J14" s="112"/>
      <c r="K14" s="112"/>
      <c r="L14" s="110"/>
      <c r="M14" s="2"/>
      <c r="N14" s="41"/>
    </row>
    <row r="15" spans="2:15">
      <c r="B15" s="5"/>
      <c r="C15" s="14" t="s">
        <v>108</v>
      </c>
      <c r="D15" s="52">
        <v>2</v>
      </c>
      <c r="E15" s="113" t="s">
        <v>98</v>
      </c>
      <c r="F15" s="15"/>
      <c r="G15" s="111">
        <f>Data!E6</f>
        <v>20</v>
      </c>
      <c r="H15" s="52">
        <f>G15*16</f>
        <v>320</v>
      </c>
      <c r="I15" s="52">
        <v>300</v>
      </c>
      <c r="J15" s="52">
        <f>G15*D15</f>
        <v>40</v>
      </c>
      <c r="K15" s="52">
        <f>H15*D15</f>
        <v>640</v>
      </c>
      <c r="L15" s="110">
        <f>I15*D15/1024</f>
        <v>0.5859375</v>
      </c>
      <c r="M15" s="2"/>
      <c r="N15" s="41"/>
    </row>
    <row r="16" spans="2:15">
      <c r="B16" s="5"/>
      <c r="C16" s="28" t="s">
        <v>109</v>
      </c>
      <c r="D16" s="52">
        <v>2</v>
      </c>
      <c r="E16" s="113" t="s">
        <v>98</v>
      </c>
      <c r="F16" s="15"/>
      <c r="G16" s="52"/>
      <c r="H16" s="52"/>
      <c r="I16" s="52"/>
      <c r="J16" s="52"/>
      <c r="K16" s="52"/>
      <c r="L16" s="110"/>
      <c r="M16" s="2"/>
      <c r="N16" s="41"/>
    </row>
    <row r="17" spans="2:14">
      <c r="B17" s="5"/>
      <c r="C17" s="28" t="s">
        <v>110</v>
      </c>
      <c r="D17" s="52">
        <v>2</v>
      </c>
      <c r="E17" s="114" t="s">
        <v>111</v>
      </c>
      <c r="F17" s="114"/>
      <c r="G17" s="115"/>
      <c r="H17" s="52"/>
      <c r="I17" s="111">
        <f>Data!E10</f>
        <v>16000</v>
      </c>
      <c r="J17" s="115"/>
      <c r="K17" s="52"/>
      <c r="L17" s="110">
        <f>I17*D17/1024</f>
        <v>31.25</v>
      </c>
      <c r="M17" s="2"/>
      <c r="N17" s="41"/>
    </row>
    <row r="18" spans="2:14">
      <c r="B18" s="5"/>
      <c r="C18" s="28" t="s">
        <v>112</v>
      </c>
      <c r="D18" s="94">
        <v>2</v>
      </c>
      <c r="E18" s="101" t="s">
        <v>111</v>
      </c>
      <c r="F18" s="101"/>
      <c r="G18" s="102"/>
      <c r="H18" s="94"/>
      <c r="I18" s="98">
        <v>5000</v>
      </c>
      <c r="J18" s="102"/>
      <c r="K18" s="94"/>
      <c r="L18" s="97">
        <f>I18*D18/1024</f>
        <v>9.765625</v>
      </c>
      <c r="M18" s="60"/>
      <c r="N18" s="58" t="s">
        <v>113</v>
      </c>
    </row>
    <row r="19" spans="2:14">
      <c r="B19" s="5"/>
      <c r="C19" s="28"/>
      <c r="D19" s="94"/>
      <c r="E19" s="101"/>
      <c r="F19" s="101"/>
      <c r="G19" s="102"/>
      <c r="H19" s="94"/>
      <c r="I19" s="94"/>
      <c r="J19" s="102"/>
      <c r="K19" s="94"/>
      <c r="L19" s="97"/>
      <c r="M19" s="60"/>
      <c r="N19" s="58"/>
    </row>
    <row r="20" spans="2:14">
      <c r="B20" s="6">
        <v>4</v>
      </c>
      <c r="C20" s="22" t="s">
        <v>114</v>
      </c>
      <c r="D20" s="99"/>
      <c r="E20" s="99"/>
      <c r="F20" s="99"/>
      <c r="G20" s="99"/>
      <c r="H20" s="99"/>
      <c r="I20" s="99"/>
      <c r="J20" s="99"/>
      <c r="K20" s="99"/>
      <c r="L20" s="97"/>
      <c r="M20" s="60"/>
      <c r="N20" s="58"/>
    </row>
    <row r="21" spans="2:14">
      <c r="B21" s="5"/>
      <c r="C21" s="14" t="s">
        <v>108</v>
      </c>
      <c r="D21" s="94">
        <v>1</v>
      </c>
      <c r="E21" s="100" t="s">
        <v>98</v>
      </c>
      <c r="F21" s="57"/>
      <c r="G21" s="98">
        <f>G15</f>
        <v>20</v>
      </c>
      <c r="H21" s="94">
        <f>G21*16</f>
        <v>320</v>
      </c>
      <c r="I21" s="94">
        <v>300</v>
      </c>
      <c r="J21" s="94">
        <f>G21*D21</f>
        <v>20</v>
      </c>
      <c r="K21" s="94">
        <f>H21*D21</f>
        <v>320</v>
      </c>
      <c r="L21" s="97">
        <f>I21*D21/1024</f>
        <v>0.29296875</v>
      </c>
      <c r="M21" s="60"/>
      <c r="N21" s="58"/>
    </row>
    <row r="22" spans="2:14">
      <c r="B22" s="5"/>
      <c r="C22" s="28" t="s">
        <v>109</v>
      </c>
      <c r="D22" s="94">
        <v>1</v>
      </c>
      <c r="E22" s="100" t="s">
        <v>98</v>
      </c>
      <c r="F22" s="57"/>
      <c r="G22" s="94"/>
      <c r="H22" s="94"/>
      <c r="I22" s="94"/>
      <c r="J22" s="94"/>
      <c r="K22" s="94"/>
      <c r="L22" s="97"/>
      <c r="M22" s="60"/>
      <c r="N22" s="58"/>
    </row>
    <row r="23" spans="2:14">
      <c r="B23" s="5"/>
      <c r="C23" s="28" t="s">
        <v>110</v>
      </c>
      <c r="D23" s="94">
        <v>1</v>
      </c>
      <c r="E23" s="101" t="s">
        <v>111</v>
      </c>
      <c r="F23" s="101"/>
      <c r="G23" s="102"/>
      <c r="H23" s="94"/>
      <c r="I23" s="98">
        <f>I17</f>
        <v>16000</v>
      </c>
      <c r="J23" s="102"/>
      <c r="K23" s="94"/>
      <c r="L23" s="97">
        <f>I23*D23/1024</f>
        <v>15.625</v>
      </c>
      <c r="M23" s="60"/>
      <c r="N23" s="58"/>
    </row>
    <row r="24" spans="2:14">
      <c r="B24" s="5"/>
      <c r="C24" s="28"/>
      <c r="D24" s="94"/>
      <c r="E24" s="101"/>
      <c r="F24" s="101"/>
      <c r="G24" s="102"/>
      <c r="H24" s="94"/>
      <c r="I24" s="94"/>
      <c r="J24" s="102"/>
      <c r="K24" s="94"/>
      <c r="L24" s="97"/>
      <c r="M24" s="60"/>
      <c r="N24" s="58"/>
    </row>
    <row r="25" spans="2:14">
      <c r="B25" s="5"/>
      <c r="C25" s="3"/>
      <c r="D25" s="52"/>
      <c r="E25" s="114"/>
      <c r="F25" s="114"/>
      <c r="G25" s="115"/>
      <c r="H25" s="52"/>
      <c r="I25" s="52"/>
      <c r="J25" s="115"/>
      <c r="K25" s="52"/>
      <c r="L25" s="110"/>
      <c r="M25" s="2"/>
      <c r="N25" s="41"/>
    </row>
    <row r="26" spans="2:14">
      <c r="B26" s="6">
        <v>5</v>
      </c>
      <c r="C26" s="8" t="s">
        <v>115</v>
      </c>
      <c r="D26" s="112"/>
      <c r="E26" s="112"/>
      <c r="F26" s="112"/>
      <c r="G26" s="112"/>
      <c r="H26" s="112"/>
      <c r="I26" s="112"/>
      <c r="J26" s="112"/>
      <c r="K26" s="112"/>
      <c r="L26" s="110"/>
      <c r="M26" s="2"/>
      <c r="N26" s="41"/>
    </row>
    <row r="27" spans="2:14" ht="72">
      <c r="B27" s="5"/>
      <c r="C27" s="29" t="s">
        <v>61</v>
      </c>
      <c r="D27" s="116">
        <v>1</v>
      </c>
      <c r="E27" s="117" t="s">
        <v>116</v>
      </c>
      <c r="F27" s="20" t="s">
        <v>117</v>
      </c>
      <c r="G27" s="52"/>
      <c r="H27" s="52"/>
      <c r="I27" s="111">
        <f>Data!E11</f>
        <v>8500</v>
      </c>
      <c r="J27" s="52"/>
      <c r="K27" s="52"/>
      <c r="L27" s="110">
        <f>I27/1024</f>
        <v>8.30078125</v>
      </c>
      <c r="M27" s="2"/>
      <c r="N27" s="41"/>
    </row>
    <row r="28" spans="2:14">
      <c r="B28" s="5"/>
      <c r="C28" s="1"/>
      <c r="D28" s="52"/>
      <c r="E28" s="113"/>
      <c r="F28" s="113"/>
      <c r="G28" s="52"/>
      <c r="H28" s="52"/>
      <c r="I28" s="52"/>
      <c r="J28" s="52"/>
      <c r="K28" s="52"/>
      <c r="L28" s="110"/>
      <c r="M28" s="2"/>
      <c r="N28" s="41"/>
    </row>
    <row r="29" spans="2:14">
      <c r="B29" s="6">
        <v>6</v>
      </c>
      <c r="C29" s="8" t="s">
        <v>118</v>
      </c>
      <c r="D29" s="112"/>
      <c r="E29" s="112"/>
      <c r="F29" s="112"/>
      <c r="G29" s="112"/>
      <c r="H29" s="112"/>
      <c r="I29" s="112"/>
      <c r="J29" s="112"/>
      <c r="K29" s="112"/>
      <c r="L29" s="110"/>
      <c r="M29" s="2"/>
      <c r="N29" s="41"/>
    </row>
    <row r="30" spans="2:14">
      <c r="B30" s="5"/>
      <c r="C30" s="18" t="s">
        <v>119</v>
      </c>
      <c r="D30" s="52">
        <v>1</v>
      </c>
      <c r="E30" s="108" t="s">
        <v>120</v>
      </c>
      <c r="F30" s="108"/>
      <c r="G30" s="52"/>
      <c r="H30" s="52"/>
      <c r="I30" s="52"/>
      <c r="J30" s="52"/>
      <c r="K30" s="52"/>
      <c r="L30" s="110"/>
      <c r="N30" s="41"/>
    </row>
    <row r="31" spans="2:14">
      <c r="B31" s="5"/>
      <c r="C31" s="18" t="s">
        <v>50</v>
      </c>
      <c r="D31" s="52">
        <v>1</v>
      </c>
      <c r="E31" s="46" t="s">
        <v>121</v>
      </c>
      <c r="F31" s="108"/>
      <c r="G31" s="52"/>
      <c r="H31" s="52"/>
      <c r="I31" s="52">
        <v>1024</v>
      </c>
      <c r="J31" s="52"/>
      <c r="K31" s="52"/>
      <c r="L31" s="110">
        <f>I31/1024</f>
        <v>1</v>
      </c>
      <c r="N31" s="41"/>
    </row>
    <row r="32" spans="2:14">
      <c r="B32" s="5"/>
      <c r="C32" s="18" t="s">
        <v>122</v>
      </c>
      <c r="D32" s="52">
        <v>1</v>
      </c>
      <c r="E32" s="108"/>
      <c r="F32" s="108"/>
      <c r="G32" s="52"/>
      <c r="H32" s="52"/>
      <c r="I32" s="52"/>
      <c r="J32" s="52"/>
      <c r="K32" s="52"/>
      <c r="L32" s="110"/>
      <c r="N32" s="41" t="s">
        <v>123</v>
      </c>
    </row>
    <row r="33" spans="2:14">
      <c r="B33" s="5"/>
      <c r="C33" s="18" t="s">
        <v>100</v>
      </c>
      <c r="D33" s="52">
        <v>1</v>
      </c>
      <c r="E33" s="108"/>
      <c r="F33" s="108"/>
      <c r="G33" s="52">
        <v>2</v>
      </c>
      <c r="H33" s="52">
        <v>8</v>
      </c>
      <c r="I33" s="52">
        <v>256</v>
      </c>
      <c r="J33" s="52">
        <v>4</v>
      </c>
      <c r="K33" s="52">
        <v>8</v>
      </c>
      <c r="L33" s="110">
        <f>I33/1024</f>
        <v>0.25</v>
      </c>
      <c r="N33" s="41" t="s">
        <v>124</v>
      </c>
    </row>
    <row r="34" spans="2:14">
      <c r="B34" s="5"/>
      <c r="C34" s="18" t="s">
        <v>125</v>
      </c>
      <c r="D34" s="52">
        <v>1</v>
      </c>
      <c r="E34" s="46" t="s">
        <v>126</v>
      </c>
      <c r="F34" s="108"/>
      <c r="G34" s="52"/>
      <c r="H34" s="52"/>
      <c r="I34" s="52"/>
      <c r="J34" s="52"/>
      <c r="K34" s="52"/>
      <c r="L34" s="110"/>
      <c r="M34" s="118"/>
      <c r="N34" s="41"/>
    </row>
    <row r="35" spans="2:14">
      <c r="B35" s="5"/>
      <c r="C35" s="19" t="s">
        <v>127</v>
      </c>
      <c r="D35" s="119">
        <v>1</v>
      </c>
      <c r="E35" s="46" t="s">
        <v>128</v>
      </c>
      <c r="F35" s="113"/>
      <c r="G35" s="52"/>
      <c r="H35" s="52"/>
      <c r="I35" s="52"/>
      <c r="J35" s="52"/>
      <c r="K35" s="52"/>
      <c r="L35" s="110"/>
      <c r="M35" s="118"/>
      <c r="N35" s="41"/>
    </row>
    <row r="36" spans="2:14">
      <c r="B36" s="5"/>
    </row>
    <row r="38" spans="2:14">
      <c r="C38" s="23"/>
    </row>
    <row r="39" spans="2:14">
      <c r="C39" s="23"/>
      <c r="G39" s="4"/>
      <c r="H39" s="4"/>
      <c r="I39" s="4"/>
      <c r="J39" s="4"/>
      <c r="K39" s="4"/>
      <c r="L39" s="4"/>
      <c r="M39" s="4"/>
      <c r="N39" s="4"/>
    </row>
    <row r="40" spans="2:14">
      <c r="C40" s="24"/>
      <c r="G40" s="4"/>
      <c r="H40" s="4"/>
      <c r="I40" s="4"/>
      <c r="J40" s="4"/>
      <c r="K40" s="4"/>
      <c r="L40" s="4"/>
      <c r="M40" s="4"/>
      <c r="N40" s="4"/>
    </row>
    <row r="41" spans="2:14" ht="17.45">
      <c r="C41" s="25"/>
      <c r="G41" s="4"/>
      <c r="H41" s="4"/>
      <c r="I41" s="4"/>
      <c r="J41" s="4"/>
      <c r="K41" s="4"/>
      <c r="L41" s="4"/>
      <c r="M41" s="4"/>
      <c r="N41" s="4"/>
    </row>
    <row r="42" spans="2:14">
      <c r="G42" s="4"/>
      <c r="H42" s="4"/>
      <c r="I42" s="4"/>
      <c r="J42" s="4"/>
      <c r="K42" s="4"/>
      <c r="L42" s="4"/>
      <c r="M42" s="4"/>
      <c r="N42" s="4"/>
    </row>
    <row r="43" spans="2:14">
      <c r="C43" s="26"/>
      <c r="G43" s="4"/>
      <c r="H43" s="4"/>
      <c r="I43" s="4"/>
      <c r="J43" s="4"/>
      <c r="K43" s="4"/>
      <c r="L43" s="4"/>
      <c r="M43" s="4"/>
      <c r="N43" s="4"/>
    </row>
    <row r="44" spans="2:14">
      <c r="C44" s="23"/>
      <c r="G44" s="4"/>
      <c r="H44" s="4"/>
      <c r="I44" s="4"/>
      <c r="J44" s="4"/>
      <c r="K44" s="4"/>
      <c r="L44" s="4"/>
      <c r="M44" s="4"/>
      <c r="N44" s="4"/>
    </row>
    <row r="45" spans="2:14">
      <c r="C45" s="23"/>
      <c r="G45" s="4"/>
      <c r="H45" s="4"/>
      <c r="I45" s="4"/>
      <c r="J45" s="4"/>
      <c r="K45" s="4"/>
      <c r="L45" s="4"/>
      <c r="M45" s="4"/>
      <c r="N45" s="4"/>
    </row>
    <row r="46" spans="2:14">
      <c r="C46" s="23"/>
      <c r="G46" s="4"/>
      <c r="H46" s="4"/>
      <c r="I46" s="4"/>
      <c r="J46" s="4"/>
      <c r="K46" s="4"/>
      <c r="L46" s="4"/>
      <c r="M46" s="4"/>
      <c r="N46" s="4"/>
    </row>
    <row r="47" spans="2:14">
      <c r="C47" s="23"/>
      <c r="G47" s="4"/>
      <c r="H47" s="4"/>
      <c r="I47" s="4"/>
      <c r="J47" s="4"/>
      <c r="K47" s="4"/>
      <c r="L47" s="4"/>
      <c r="M47" s="4"/>
      <c r="N47" s="4"/>
    </row>
    <row r="48" spans="2:14">
      <c r="C48" s="27"/>
      <c r="G48" s="4"/>
      <c r="H48" s="4"/>
      <c r="I48" s="4"/>
      <c r="J48" s="4"/>
      <c r="K48" s="4"/>
      <c r="L48" s="4"/>
      <c r="M48" s="4"/>
      <c r="N48" s="4"/>
    </row>
    <row r="49" spans="7:14">
      <c r="G49" s="4"/>
      <c r="H49" s="4"/>
      <c r="I49" s="4"/>
      <c r="J49" s="4"/>
      <c r="K49" s="4"/>
      <c r="L49" s="4"/>
      <c r="M49" s="4"/>
      <c r="N49" s="4"/>
    </row>
    <row r="50" spans="7:14">
      <c r="G50" s="4"/>
      <c r="H50" s="4"/>
      <c r="I50" s="4"/>
      <c r="J50" s="4"/>
      <c r="K50" s="4"/>
      <c r="L50" s="4"/>
      <c r="M50" s="4"/>
      <c r="N50" s="4"/>
    </row>
  </sheetData>
  <mergeCells count="2">
    <mergeCell ref="N5:N7"/>
    <mergeCell ref="B2:N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B1466-7839-4826-AFB9-1F65C060A183}">
  <sheetPr codeName="Sheet6"/>
  <dimension ref="B1:O50"/>
  <sheetViews>
    <sheetView showGridLines="0" topLeftCell="A9" zoomScale="70" zoomScaleNormal="70" workbookViewId="0">
      <selection activeCell="C27" sqref="C27"/>
    </sheetView>
  </sheetViews>
  <sheetFormatPr defaultColWidth="8.85546875" defaultRowHeight="14.45"/>
  <cols>
    <col min="2" max="2" width="7.42578125" customWidth="1"/>
    <col min="3" max="3" width="76" customWidth="1"/>
    <col min="4" max="4" width="14.28515625" style="5" customWidth="1"/>
    <col min="5" max="5" width="23.28515625" style="4" customWidth="1"/>
    <col min="6" max="6" width="25.140625" style="4" customWidth="1"/>
    <col min="7" max="8" width="9.28515625" style="5" bestFit="1" customWidth="1"/>
    <col min="9" max="9" width="11.42578125" style="5" customWidth="1"/>
    <col min="10" max="10" width="8.42578125" style="5" bestFit="1" customWidth="1"/>
    <col min="11" max="11" width="8.42578125" style="5" customWidth="1"/>
    <col min="12" max="12" width="11.42578125" style="5" customWidth="1"/>
    <col min="13" max="13" width="2.140625" hidden="1" customWidth="1"/>
    <col min="14" max="14" width="38.42578125" customWidth="1"/>
  </cols>
  <sheetData>
    <row r="1" spans="2:15" ht="18">
      <c r="D1" s="7"/>
      <c r="E1" s="7"/>
      <c r="F1" s="7"/>
      <c r="G1" s="7"/>
      <c r="H1" s="7"/>
      <c r="I1" s="7"/>
      <c r="J1" s="7"/>
      <c r="K1" s="7"/>
      <c r="L1" s="7"/>
    </row>
    <row r="2" spans="2:15" ht="30" customHeight="1">
      <c r="B2" s="121" t="s">
        <v>84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3" spans="2:15" s="4" customFormat="1" ht="69.75" customHeight="1">
      <c r="B3" s="43" t="s">
        <v>85</v>
      </c>
      <c r="C3" s="43" t="s">
        <v>86</v>
      </c>
      <c r="D3" s="43" t="s">
        <v>87</v>
      </c>
      <c r="E3" s="43" t="s">
        <v>88</v>
      </c>
      <c r="F3" s="43" t="s">
        <v>89</v>
      </c>
      <c r="G3" s="43" t="s">
        <v>90</v>
      </c>
      <c r="H3" s="43" t="s">
        <v>91</v>
      </c>
      <c r="I3" s="43" t="s">
        <v>92</v>
      </c>
      <c r="J3" s="43" t="s">
        <v>93</v>
      </c>
      <c r="K3" s="43" t="s">
        <v>94</v>
      </c>
      <c r="L3" s="43" t="s">
        <v>95</v>
      </c>
      <c r="M3" s="44"/>
      <c r="N3" s="43" t="s">
        <v>89</v>
      </c>
      <c r="O3" s="37"/>
    </row>
    <row r="4" spans="2:15">
      <c r="B4" s="12">
        <v>1</v>
      </c>
      <c r="C4" s="11" t="s">
        <v>96</v>
      </c>
      <c r="D4" s="106"/>
      <c r="E4" s="107"/>
      <c r="F4" s="107"/>
      <c r="G4" s="106"/>
      <c r="H4" s="106"/>
      <c r="I4" s="106"/>
      <c r="J4" s="106"/>
      <c r="K4" s="106"/>
      <c r="L4" s="106"/>
      <c r="N4" s="41"/>
    </row>
    <row r="5" spans="2:15">
      <c r="B5" s="9"/>
      <c r="C5" s="10" t="s">
        <v>97</v>
      </c>
      <c r="D5" s="52">
        <v>1</v>
      </c>
      <c r="E5" s="108" t="s">
        <v>98</v>
      </c>
      <c r="F5" s="109"/>
      <c r="G5" s="52">
        <v>2</v>
      </c>
      <c r="H5" s="52">
        <v>16</v>
      </c>
      <c r="I5" s="52">
        <v>256</v>
      </c>
      <c r="J5" s="52">
        <f t="shared" ref="J5:J8" si="0">G5*D5</f>
        <v>2</v>
      </c>
      <c r="K5" s="52">
        <f t="shared" ref="K5:K8" si="1">H5*D5</f>
        <v>16</v>
      </c>
      <c r="L5" s="110">
        <f t="shared" ref="L5:L7" si="2">I5*D5/1024</f>
        <v>0.25</v>
      </c>
      <c r="N5" s="131" t="s">
        <v>99</v>
      </c>
    </row>
    <row r="6" spans="2:15">
      <c r="B6" s="9"/>
      <c r="C6" s="10" t="s">
        <v>100</v>
      </c>
      <c r="D6" s="52">
        <v>1</v>
      </c>
      <c r="E6" s="108" t="s">
        <v>98</v>
      </c>
      <c r="F6" s="21"/>
      <c r="G6" s="52">
        <v>2</v>
      </c>
      <c r="H6" s="52">
        <v>16</v>
      </c>
      <c r="I6" s="52">
        <v>256</v>
      </c>
      <c r="J6" s="52">
        <f t="shared" si="0"/>
        <v>2</v>
      </c>
      <c r="K6" s="52">
        <f t="shared" si="1"/>
        <v>16</v>
      </c>
      <c r="L6" s="110">
        <f t="shared" si="2"/>
        <v>0.25</v>
      </c>
      <c r="N6" s="131"/>
    </row>
    <row r="7" spans="2:15">
      <c r="B7" s="9"/>
      <c r="C7" s="10" t="s">
        <v>101</v>
      </c>
      <c r="D7" s="52">
        <v>3</v>
      </c>
      <c r="E7" s="108" t="s">
        <v>102</v>
      </c>
      <c r="F7" s="21"/>
      <c r="G7" s="52">
        <v>4</v>
      </c>
      <c r="H7" s="52">
        <v>16</v>
      </c>
      <c r="I7" s="52">
        <v>256</v>
      </c>
      <c r="J7" s="52">
        <f t="shared" si="0"/>
        <v>12</v>
      </c>
      <c r="K7" s="52">
        <f t="shared" si="1"/>
        <v>48</v>
      </c>
      <c r="L7" s="110">
        <f t="shared" si="2"/>
        <v>0.75</v>
      </c>
      <c r="N7" s="131"/>
    </row>
    <row r="8" spans="2:15">
      <c r="B8" s="5"/>
      <c r="C8" s="28" t="s">
        <v>103</v>
      </c>
      <c r="D8" s="111">
        <f>Data!F3</f>
        <v>8</v>
      </c>
      <c r="E8" s="108" t="s">
        <v>102</v>
      </c>
      <c r="F8" s="15"/>
      <c r="G8" s="52">
        <v>8</v>
      </c>
      <c r="H8" s="52">
        <v>32</v>
      </c>
      <c r="I8" s="52">
        <v>256</v>
      </c>
      <c r="J8" s="52">
        <f t="shared" si="0"/>
        <v>64</v>
      </c>
      <c r="K8" s="52">
        <f t="shared" si="1"/>
        <v>256</v>
      </c>
      <c r="L8" s="110">
        <f>I8*D8/1024</f>
        <v>2</v>
      </c>
      <c r="N8" s="41"/>
      <c r="O8" s="26"/>
    </row>
    <row r="9" spans="2:15">
      <c r="B9" s="5"/>
      <c r="C9" s="3"/>
      <c r="D9" s="52"/>
      <c r="E9" s="108"/>
      <c r="F9" s="15"/>
      <c r="G9" s="52"/>
      <c r="H9" s="52"/>
      <c r="I9" s="52"/>
      <c r="J9" s="52"/>
      <c r="K9" s="52"/>
      <c r="L9" s="110"/>
      <c r="N9" s="41"/>
      <c r="O9" s="23"/>
    </row>
    <row r="10" spans="2:15">
      <c r="B10" s="6">
        <v>2</v>
      </c>
      <c r="C10" s="11" t="s">
        <v>104</v>
      </c>
      <c r="D10" s="52"/>
      <c r="E10" s="108"/>
      <c r="F10" s="15"/>
      <c r="G10" s="52"/>
      <c r="H10" s="52"/>
      <c r="I10" s="52"/>
      <c r="J10" s="52"/>
      <c r="K10" s="52"/>
      <c r="L10" s="110"/>
      <c r="N10" s="41"/>
      <c r="O10" s="23"/>
    </row>
    <row r="11" spans="2:15">
      <c r="B11" s="5"/>
      <c r="C11" s="3" t="s">
        <v>129</v>
      </c>
      <c r="D11" s="52">
        <v>3</v>
      </c>
      <c r="E11" s="108" t="s">
        <v>102</v>
      </c>
      <c r="F11" s="15"/>
      <c r="G11" s="52">
        <v>4</v>
      </c>
      <c r="H11" s="52">
        <v>32</v>
      </c>
      <c r="I11" s="52">
        <v>256</v>
      </c>
      <c r="J11" s="52">
        <f t="shared" ref="J11" si="3">G11*D11</f>
        <v>12</v>
      </c>
      <c r="K11" s="52">
        <f t="shared" ref="K11" si="4">H11*D11</f>
        <v>96</v>
      </c>
      <c r="L11" s="110">
        <f t="shared" ref="L11:L12" si="5">I11*D11/1024</f>
        <v>0.75</v>
      </c>
      <c r="N11" s="41"/>
      <c r="O11" s="23"/>
    </row>
    <row r="12" spans="2:15">
      <c r="B12" s="5"/>
      <c r="C12" s="3" t="s">
        <v>106</v>
      </c>
      <c r="D12" s="52">
        <v>1</v>
      </c>
      <c r="E12" s="108"/>
      <c r="F12" s="15"/>
      <c r="G12" s="52"/>
      <c r="H12" s="52"/>
      <c r="I12" s="52">
        <f>I27+D8*1024</f>
        <v>17592</v>
      </c>
      <c r="J12" s="52"/>
      <c r="K12" s="52"/>
      <c r="L12" s="110">
        <f t="shared" si="5"/>
        <v>17.1796875</v>
      </c>
      <c r="N12" s="41"/>
      <c r="O12" s="23"/>
    </row>
    <row r="13" spans="2:15">
      <c r="B13" s="5"/>
      <c r="D13" s="52"/>
      <c r="E13" s="108"/>
      <c r="F13" s="108"/>
      <c r="G13" s="52"/>
      <c r="H13" s="52"/>
      <c r="I13" s="52"/>
      <c r="J13" s="52"/>
      <c r="K13" s="52"/>
      <c r="L13" s="110"/>
      <c r="N13" s="41"/>
    </row>
    <row r="14" spans="2:15">
      <c r="B14" s="6">
        <v>3</v>
      </c>
      <c r="C14" s="22" t="s">
        <v>107</v>
      </c>
      <c r="D14" s="112"/>
      <c r="E14" s="112"/>
      <c r="F14" s="112"/>
      <c r="G14" s="112"/>
      <c r="H14" s="112"/>
      <c r="I14" s="112"/>
      <c r="J14" s="112"/>
      <c r="K14" s="112"/>
      <c r="L14" s="110"/>
      <c r="M14" s="2"/>
      <c r="N14" s="41"/>
    </row>
    <row r="15" spans="2:15">
      <c r="B15" s="5"/>
      <c r="C15" s="14" t="s">
        <v>108</v>
      </c>
      <c r="D15" s="52">
        <v>2</v>
      </c>
      <c r="E15" s="113" t="s">
        <v>98</v>
      </c>
      <c r="F15" s="15"/>
      <c r="G15" s="111">
        <f>Data!F6</f>
        <v>22</v>
      </c>
      <c r="H15" s="52">
        <f>G15*16</f>
        <v>352</v>
      </c>
      <c r="I15" s="52">
        <v>300</v>
      </c>
      <c r="J15" s="52">
        <f>G15*D15</f>
        <v>44</v>
      </c>
      <c r="K15" s="52">
        <f>H15*D15</f>
        <v>704</v>
      </c>
      <c r="L15" s="110">
        <f>I15*D15/1024</f>
        <v>0.5859375</v>
      </c>
      <c r="M15" s="2"/>
      <c r="N15" s="41"/>
    </row>
    <row r="16" spans="2:15">
      <c r="B16" s="5"/>
      <c r="C16" s="28" t="s">
        <v>109</v>
      </c>
      <c r="D16" s="52">
        <v>2</v>
      </c>
      <c r="E16" s="113" t="s">
        <v>98</v>
      </c>
      <c r="F16" s="15"/>
      <c r="G16" s="52"/>
      <c r="H16" s="52"/>
      <c r="I16" s="52"/>
      <c r="J16" s="52"/>
      <c r="K16" s="52"/>
      <c r="L16" s="110"/>
      <c r="M16" s="2"/>
      <c r="N16" s="41"/>
    </row>
    <row r="17" spans="2:14">
      <c r="B17" s="5"/>
      <c r="C17" s="28" t="s">
        <v>110</v>
      </c>
      <c r="D17" s="52">
        <v>2</v>
      </c>
      <c r="E17" s="114" t="s">
        <v>111</v>
      </c>
      <c r="F17" s="114"/>
      <c r="G17" s="115"/>
      <c r="H17" s="52"/>
      <c r="I17" s="111">
        <f>Data!F10</f>
        <v>17500</v>
      </c>
      <c r="J17" s="115"/>
      <c r="K17" s="52"/>
      <c r="L17" s="110">
        <f>I17*D17/1024</f>
        <v>34.1796875</v>
      </c>
      <c r="M17" s="2"/>
      <c r="N17" s="41"/>
    </row>
    <row r="18" spans="2:14">
      <c r="B18" s="5"/>
      <c r="C18" s="28" t="s">
        <v>112</v>
      </c>
      <c r="D18" s="94">
        <v>2</v>
      </c>
      <c r="E18" s="101" t="s">
        <v>111</v>
      </c>
      <c r="F18" s="101"/>
      <c r="G18" s="102"/>
      <c r="H18" s="94"/>
      <c r="I18" s="98">
        <v>5000</v>
      </c>
      <c r="J18" s="102"/>
      <c r="K18" s="94"/>
      <c r="L18" s="97">
        <f>I18*D18/1024</f>
        <v>9.765625</v>
      </c>
      <c r="M18" s="60"/>
      <c r="N18" s="58" t="s">
        <v>113</v>
      </c>
    </row>
    <row r="19" spans="2:14">
      <c r="B19" s="5"/>
      <c r="C19" s="28"/>
      <c r="D19" s="94"/>
      <c r="E19" s="101"/>
      <c r="F19" s="101"/>
      <c r="G19" s="102"/>
      <c r="H19" s="94"/>
      <c r="I19" s="94"/>
      <c r="J19" s="102"/>
      <c r="K19" s="94"/>
      <c r="L19" s="97"/>
      <c r="M19" s="60"/>
      <c r="N19" s="58"/>
    </row>
    <row r="20" spans="2:14">
      <c r="B20" s="6">
        <v>4</v>
      </c>
      <c r="C20" s="22" t="s">
        <v>114</v>
      </c>
      <c r="D20" s="99"/>
      <c r="E20" s="99"/>
      <c r="F20" s="99"/>
      <c r="G20" s="99"/>
      <c r="H20" s="99"/>
      <c r="I20" s="99"/>
      <c r="J20" s="99"/>
      <c r="K20" s="99"/>
      <c r="L20" s="97"/>
      <c r="M20" s="60"/>
      <c r="N20" s="58"/>
    </row>
    <row r="21" spans="2:14">
      <c r="B21" s="5"/>
      <c r="C21" s="14" t="s">
        <v>108</v>
      </c>
      <c r="D21" s="94">
        <v>1</v>
      </c>
      <c r="E21" s="100" t="s">
        <v>98</v>
      </c>
      <c r="F21" s="57"/>
      <c r="G21" s="98">
        <f>G15</f>
        <v>22</v>
      </c>
      <c r="H21" s="94">
        <f>G21*16</f>
        <v>352</v>
      </c>
      <c r="I21" s="94">
        <v>300</v>
      </c>
      <c r="J21" s="94">
        <f>G21*D21</f>
        <v>22</v>
      </c>
      <c r="K21" s="94">
        <f>H21*D21</f>
        <v>352</v>
      </c>
      <c r="L21" s="97">
        <f>I21*D21/1024</f>
        <v>0.29296875</v>
      </c>
      <c r="M21" s="60"/>
      <c r="N21" s="58"/>
    </row>
    <row r="22" spans="2:14">
      <c r="B22" s="5"/>
      <c r="C22" s="28" t="s">
        <v>109</v>
      </c>
      <c r="D22" s="94">
        <v>1</v>
      </c>
      <c r="E22" s="100" t="s">
        <v>98</v>
      </c>
      <c r="F22" s="57"/>
      <c r="G22" s="94"/>
      <c r="H22" s="94"/>
      <c r="I22" s="94"/>
      <c r="J22" s="94"/>
      <c r="K22" s="94"/>
      <c r="L22" s="97"/>
      <c r="M22" s="60"/>
      <c r="N22" s="58"/>
    </row>
    <row r="23" spans="2:14">
      <c r="B23" s="5"/>
      <c r="C23" s="28" t="s">
        <v>110</v>
      </c>
      <c r="D23" s="94">
        <v>1</v>
      </c>
      <c r="E23" s="101" t="s">
        <v>111</v>
      </c>
      <c r="F23" s="101"/>
      <c r="G23" s="102"/>
      <c r="H23" s="94"/>
      <c r="I23" s="98">
        <f>I17</f>
        <v>17500</v>
      </c>
      <c r="J23" s="102"/>
      <c r="K23" s="94"/>
      <c r="L23" s="97">
        <f>I23*D23/1024</f>
        <v>17.08984375</v>
      </c>
      <c r="M23" s="60"/>
      <c r="N23" s="58"/>
    </row>
    <row r="24" spans="2:14">
      <c r="B24" s="5"/>
      <c r="C24" s="28"/>
      <c r="D24" s="94"/>
      <c r="E24" s="101"/>
      <c r="F24" s="101"/>
      <c r="G24" s="102"/>
      <c r="H24" s="94"/>
      <c r="I24" s="94"/>
      <c r="J24" s="102"/>
      <c r="K24" s="94"/>
      <c r="L24" s="97"/>
      <c r="M24" s="60"/>
      <c r="N24" s="58"/>
    </row>
    <row r="25" spans="2:14">
      <c r="B25" s="5"/>
      <c r="C25" s="3"/>
      <c r="D25" s="52"/>
      <c r="E25" s="114"/>
      <c r="F25" s="114"/>
      <c r="G25" s="115"/>
      <c r="H25" s="52"/>
      <c r="I25" s="52"/>
      <c r="J25" s="115"/>
      <c r="K25" s="52"/>
      <c r="L25" s="110"/>
      <c r="M25" s="2"/>
      <c r="N25" s="41"/>
    </row>
    <row r="26" spans="2:14">
      <c r="B26" s="6">
        <v>5</v>
      </c>
      <c r="C26" s="8" t="s">
        <v>115</v>
      </c>
      <c r="D26" s="112"/>
      <c r="E26" s="112"/>
      <c r="F26" s="112"/>
      <c r="G26" s="112"/>
      <c r="H26" s="112"/>
      <c r="I26" s="112"/>
      <c r="J26" s="112"/>
      <c r="K26" s="112"/>
      <c r="L26" s="110"/>
      <c r="M26" s="2"/>
      <c r="N26" s="41"/>
    </row>
    <row r="27" spans="2:14" ht="72">
      <c r="B27" s="5"/>
      <c r="C27" s="29" t="s">
        <v>61</v>
      </c>
      <c r="D27" s="116">
        <v>1</v>
      </c>
      <c r="E27" s="117" t="s">
        <v>116</v>
      </c>
      <c r="F27" s="20" t="s">
        <v>117</v>
      </c>
      <c r="G27" s="52"/>
      <c r="H27" s="52"/>
      <c r="I27" s="111">
        <f>Data!F11</f>
        <v>9400</v>
      </c>
      <c r="J27" s="52"/>
      <c r="K27" s="52"/>
      <c r="L27" s="110">
        <f>I27/1024</f>
        <v>9.1796875</v>
      </c>
      <c r="M27" s="2"/>
      <c r="N27" s="41"/>
    </row>
    <row r="28" spans="2:14">
      <c r="B28" s="5"/>
      <c r="C28" s="1"/>
      <c r="D28" s="52"/>
      <c r="E28" s="113"/>
      <c r="F28" s="113"/>
      <c r="G28" s="52"/>
      <c r="H28" s="52"/>
      <c r="I28" s="52"/>
      <c r="J28" s="52"/>
      <c r="K28" s="52"/>
      <c r="L28" s="110"/>
      <c r="M28" s="2"/>
      <c r="N28" s="41"/>
    </row>
    <row r="29" spans="2:14">
      <c r="B29" s="6">
        <v>6</v>
      </c>
      <c r="C29" s="8" t="s">
        <v>118</v>
      </c>
      <c r="D29" s="112"/>
      <c r="E29" s="112"/>
      <c r="F29" s="112"/>
      <c r="G29" s="112"/>
      <c r="H29" s="112"/>
      <c r="I29" s="112"/>
      <c r="J29" s="112"/>
      <c r="K29" s="112"/>
      <c r="L29" s="110"/>
      <c r="M29" s="2"/>
      <c r="N29" s="41"/>
    </row>
    <row r="30" spans="2:14">
      <c r="B30" s="5"/>
      <c r="C30" s="18" t="s">
        <v>119</v>
      </c>
      <c r="D30" s="52">
        <v>1</v>
      </c>
      <c r="E30" s="108" t="s">
        <v>120</v>
      </c>
      <c r="F30" s="108"/>
      <c r="G30" s="52"/>
      <c r="H30" s="52"/>
      <c r="I30" s="52"/>
      <c r="J30" s="52"/>
      <c r="K30" s="52"/>
      <c r="L30" s="110"/>
      <c r="N30" s="41"/>
    </row>
    <row r="31" spans="2:14">
      <c r="B31" s="5"/>
      <c r="C31" s="18" t="s">
        <v>50</v>
      </c>
      <c r="D31" s="52">
        <v>1</v>
      </c>
      <c r="E31" s="46" t="s">
        <v>121</v>
      </c>
      <c r="F31" s="108"/>
      <c r="G31" s="52"/>
      <c r="H31" s="52"/>
      <c r="I31" s="52">
        <v>1024</v>
      </c>
      <c r="J31" s="52"/>
      <c r="K31" s="52"/>
      <c r="L31" s="110">
        <f>I31/1024</f>
        <v>1</v>
      </c>
      <c r="N31" s="41"/>
    </row>
    <row r="32" spans="2:14">
      <c r="B32" s="5"/>
      <c r="C32" s="18" t="s">
        <v>122</v>
      </c>
      <c r="D32" s="52">
        <v>1</v>
      </c>
      <c r="E32" s="108"/>
      <c r="F32" s="108"/>
      <c r="G32" s="52"/>
      <c r="H32" s="52"/>
      <c r="I32" s="52"/>
      <c r="J32" s="52"/>
      <c r="K32" s="52"/>
      <c r="L32" s="110"/>
      <c r="N32" s="41" t="s">
        <v>123</v>
      </c>
    </row>
    <row r="33" spans="2:14">
      <c r="B33" s="5"/>
      <c r="C33" s="18" t="s">
        <v>100</v>
      </c>
      <c r="D33" s="52">
        <v>1</v>
      </c>
      <c r="E33" s="108"/>
      <c r="F33" s="108"/>
      <c r="G33" s="52">
        <v>2</v>
      </c>
      <c r="H33" s="52">
        <v>8</v>
      </c>
      <c r="I33" s="52">
        <v>256</v>
      </c>
      <c r="J33" s="52">
        <v>4</v>
      </c>
      <c r="K33" s="52">
        <v>8</v>
      </c>
      <c r="L33" s="110">
        <f>I33/1024</f>
        <v>0.25</v>
      </c>
      <c r="N33" s="41" t="s">
        <v>124</v>
      </c>
    </row>
    <row r="34" spans="2:14">
      <c r="B34" s="5"/>
      <c r="C34" s="18" t="s">
        <v>125</v>
      </c>
      <c r="D34" s="52">
        <v>1</v>
      </c>
      <c r="E34" s="46" t="s">
        <v>126</v>
      </c>
      <c r="F34" s="108"/>
      <c r="G34" s="52"/>
      <c r="H34" s="52"/>
      <c r="I34" s="52"/>
      <c r="J34" s="52"/>
      <c r="K34" s="52"/>
      <c r="L34" s="110"/>
      <c r="M34" s="118"/>
      <c r="N34" s="41"/>
    </row>
    <row r="35" spans="2:14">
      <c r="B35" s="5"/>
      <c r="C35" s="19" t="s">
        <v>127</v>
      </c>
      <c r="D35" s="119">
        <v>1</v>
      </c>
      <c r="E35" s="46" t="s">
        <v>128</v>
      </c>
      <c r="F35" s="113"/>
      <c r="G35" s="52"/>
      <c r="H35" s="52"/>
      <c r="I35" s="52"/>
      <c r="J35" s="52"/>
      <c r="K35" s="52"/>
      <c r="L35" s="110"/>
      <c r="M35" s="118"/>
      <c r="N35" s="41"/>
    </row>
    <row r="36" spans="2:14">
      <c r="B36" s="5"/>
    </row>
    <row r="38" spans="2:14">
      <c r="C38" s="23"/>
    </row>
    <row r="39" spans="2:14">
      <c r="C39" s="23"/>
      <c r="G39" s="4"/>
      <c r="H39" s="4"/>
      <c r="I39" s="4"/>
      <c r="J39" s="4"/>
      <c r="K39" s="4"/>
      <c r="L39" s="4"/>
      <c r="M39" s="4"/>
      <c r="N39" s="4"/>
    </row>
    <row r="40" spans="2:14">
      <c r="C40" s="24"/>
      <c r="G40" s="4"/>
      <c r="H40" s="4"/>
      <c r="I40" s="4"/>
      <c r="J40" s="4"/>
      <c r="K40" s="4"/>
      <c r="L40" s="4"/>
      <c r="M40" s="4"/>
      <c r="N40" s="4"/>
    </row>
    <row r="41" spans="2:14" ht="17.45">
      <c r="C41" s="25"/>
      <c r="G41" s="4"/>
      <c r="H41" s="4"/>
      <c r="I41" s="4"/>
      <c r="J41" s="4"/>
      <c r="K41" s="4"/>
      <c r="L41" s="4"/>
      <c r="M41" s="4"/>
      <c r="N41" s="4"/>
    </row>
    <row r="42" spans="2:14">
      <c r="G42" s="4"/>
      <c r="H42" s="4"/>
      <c r="I42" s="4"/>
      <c r="J42" s="4"/>
      <c r="K42" s="4"/>
      <c r="L42" s="4"/>
      <c r="M42" s="4"/>
      <c r="N42" s="4"/>
    </row>
    <row r="43" spans="2:14">
      <c r="C43" s="26"/>
      <c r="G43" s="4"/>
      <c r="H43" s="4"/>
      <c r="I43" s="4"/>
      <c r="J43" s="4"/>
      <c r="K43" s="4"/>
      <c r="L43" s="4"/>
      <c r="M43" s="4"/>
      <c r="N43" s="4"/>
    </row>
    <row r="44" spans="2:14">
      <c r="C44" s="23"/>
      <c r="G44" s="4"/>
      <c r="H44" s="4"/>
      <c r="I44" s="4"/>
      <c r="J44" s="4"/>
      <c r="K44" s="4"/>
      <c r="L44" s="4"/>
      <c r="M44" s="4"/>
      <c r="N44" s="4"/>
    </row>
    <row r="45" spans="2:14">
      <c r="C45" s="23"/>
      <c r="G45" s="4"/>
      <c r="H45" s="4"/>
      <c r="I45" s="4"/>
      <c r="J45" s="4"/>
      <c r="K45" s="4"/>
      <c r="L45" s="4"/>
      <c r="M45" s="4"/>
      <c r="N45" s="4"/>
    </row>
    <row r="46" spans="2:14">
      <c r="C46" s="23"/>
      <c r="G46" s="4"/>
      <c r="H46" s="4"/>
      <c r="I46" s="4"/>
      <c r="J46" s="4"/>
      <c r="K46" s="4"/>
      <c r="L46" s="4"/>
      <c r="M46" s="4"/>
      <c r="N46" s="4"/>
    </row>
    <row r="47" spans="2:14">
      <c r="C47" s="23"/>
      <c r="G47" s="4"/>
      <c r="H47" s="4"/>
      <c r="I47" s="4"/>
      <c r="J47" s="4"/>
      <c r="K47" s="4"/>
      <c r="L47" s="4"/>
      <c r="M47" s="4"/>
      <c r="N47" s="4"/>
    </row>
    <row r="48" spans="2:14">
      <c r="C48" s="27"/>
      <c r="G48" s="4"/>
      <c r="H48" s="4"/>
      <c r="I48" s="4"/>
      <c r="J48" s="4"/>
      <c r="K48" s="4"/>
      <c r="L48" s="4"/>
      <c r="M48" s="4"/>
      <c r="N48" s="4"/>
    </row>
    <row r="49" spans="7:14">
      <c r="G49" s="4"/>
      <c r="H49" s="4"/>
      <c r="I49" s="4"/>
      <c r="J49" s="4"/>
      <c r="K49" s="4"/>
      <c r="L49" s="4"/>
      <c r="M49" s="4"/>
      <c r="N49" s="4"/>
    </row>
    <row r="50" spans="7:14">
      <c r="G50" s="4"/>
      <c r="H50" s="4"/>
      <c r="I50" s="4"/>
      <c r="J50" s="4"/>
      <c r="K50" s="4"/>
      <c r="L50" s="4"/>
      <c r="M50" s="4"/>
      <c r="N50" s="4"/>
    </row>
  </sheetData>
  <mergeCells count="2">
    <mergeCell ref="N5:N7"/>
    <mergeCell ref="B2:N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D5B5-A0F8-48EB-B9D0-2EFBF4B2666E}">
  <sheetPr codeName="Sheet7"/>
  <dimension ref="B1:O50"/>
  <sheetViews>
    <sheetView showGridLines="0" topLeftCell="A10" zoomScale="70" zoomScaleNormal="70" workbookViewId="0">
      <selection activeCell="B29" sqref="B29"/>
    </sheetView>
  </sheetViews>
  <sheetFormatPr defaultColWidth="8.85546875" defaultRowHeight="14.45"/>
  <cols>
    <col min="2" max="2" width="7.42578125" customWidth="1"/>
    <col min="3" max="3" width="76" customWidth="1"/>
    <col min="4" max="4" width="14.28515625" style="5" customWidth="1"/>
    <col min="5" max="5" width="23.28515625" style="4" customWidth="1"/>
    <col min="6" max="6" width="25.140625" style="4" customWidth="1"/>
    <col min="7" max="8" width="9.28515625" style="5" bestFit="1" customWidth="1"/>
    <col min="9" max="9" width="11.42578125" style="5" customWidth="1"/>
    <col min="10" max="10" width="8.42578125" style="5" bestFit="1" customWidth="1"/>
    <col min="11" max="11" width="8.42578125" style="5" customWidth="1"/>
    <col min="12" max="12" width="11.42578125" style="5" customWidth="1"/>
    <col min="13" max="13" width="2.140625" hidden="1" customWidth="1"/>
    <col min="14" max="14" width="38.42578125" customWidth="1"/>
  </cols>
  <sheetData>
    <row r="1" spans="2:15" ht="18">
      <c r="D1" s="7"/>
      <c r="E1" s="7"/>
      <c r="F1" s="7"/>
      <c r="G1" s="7"/>
      <c r="H1" s="7"/>
      <c r="I1" s="7"/>
      <c r="J1" s="7"/>
      <c r="K1" s="7"/>
      <c r="L1" s="7"/>
    </row>
    <row r="2" spans="2:15" ht="30" customHeight="1">
      <c r="B2" s="121" t="s">
        <v>84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3" spans="2:15" s="4" customFormat="1" ht="69.75" customHeight="1">
      <c r="B3" s="43" t="s">
        <v>85</v>
      </c>
      <c r="C3" s="43" t="s">
        <v>86</v>
      </c>
      <c r="D3" s="43" t="s">
        <v>87</v>
      </c>
      <c r="E3" s="43" t="s">
        <v>88</v>
      </c>
      <c r="F3" s="43" t="s">
        <v>89</v>
      </c>
      <c r="G3" s="43" t="s">
        <v>90</v>
      </c>
      <c r="H3" s="43" t="s">
        <v>91</v>
      </c>
      <c r="I3" s="43" t="s">
        <v>92</v>
      </c>
      <c r="J3" s="43" t="s">
        <v>93</v>
      </c>
      <c r="K3" s="43" t="s">
        <v>94</v>
      </c>
      <c r="L3" s="43" t="s">
        <v>95</v>
      </c>
      <c r="M3" s="44"/>
      <c r="N3" s="43" t="s">
        <v>89</v>
      </c>
      <c r="O3" s="37"/>
    </row>
    <row r="4" spans="2:15">
      <c r="B4" s="12">
        <v>1</v>
      </c>
      <c r="C4" s="11" t="s">
        <v>96</v>
      </c>
      <c r="D4" s="106"/>
      <c r="E4" s="107"/>
      <c r="F4" s="107"/>
      <c r="G4" s="106"/>
      <c r="H4" s="106"/>
      <c r="I4" s="106"/>
      <c r="J4" s="106"/>
      <c r="K4" s="106"/>
      <c r="L4" s="106"/>
      <c r="N4" s="41"/>
    </row>
    <row r="5" spans="2:15">
      <c r="B5" s="9"/>
      <c r="C5" s="10" t="s">
        <v>97</v>
      </c>
      <c r="D5" s="52">
        <v>1</v>
      </c>
      <c r="E5" s="108" t="s">
        <v>98</v>
      </c>
      <c r="F5" s="109"/>
      <c r="G5" s="52">
        <v>2</v>
      </c>
      <c r="H5" s="52">
        <v>16</v>
      </c>
      <c r="I5" s="52">
        <v>256</v>
      </c>
      <c r="J5" s="52">
        <f t="shared" ref="J5:J8" si="0">G5*D5</f>
        <v>2</v>
      </c>
      <c r="K5" s="52">
        <f t="shared" ref="K5:K8" si="1">H5*D5</f>
        <v>16</v>
      </c>
      <c r="L5" s="110">
        <f t="shared" ref="L5:L7" si="2">I5*D5/1024</f>
        <v>0.25</v>
      </c>
      <c r="N5" s="131" t="s">
        <v>99</v>
      </c>
    </row>
    <row r="6" spans="2:15">
      <c r="B6" s="9"/>
      <c r="C6" s="10" t="s">
        <v>100</v>
      </c>
      <c r="D6" s="52">
        <v>1</v>
      </c>
      <c r="E6" s="108" t="s">
        <v>98</v>
      </c>
      <c r="F6" s="21"/>
      <c r="G6" s="52">
        <v>2</v>
      </c>
      <c r="H6" s="52">
        <v>16</v>
      </c>
      <c r="I6" s="52">
        <v>256</v>
      </c>
      <c r="J6" s="52">
        <f t="shared" si="0"/>
        <v>2</v>
      </c>
      <c r="K6" s="52">
        <f t="shared" si="1"/>
        <v>16</v>
      </c>
      <c r="L6" s="110">
        <f t="shared" si="2"/>
        <v>0.25</v>
      </c>
      <c r="N6" s="131"/>
    </row>
    <row r="7" spans="2:15">
      <c r="B7" s="9"/>
      <c r="C7" s="10" t="s">
        <v>101</v>
      </c>
      <c r="D7" s="52">
        <v>3</v>
      </c>
      <c r="E7" s="108" t="s">
        <v>102</v>
      </c>
      <c r="F7" s="21"/>
      <c r="G7" s="52">
        <v>4</v>
      </c>
      <c r="H7" s="52">
        <v>16</v>
      </c>
      <c r="I7" s="52">
        <v>256</v>
      </c>
      <c r="J7" s="52">
        <f t="shared" si="0"/>
        <v>12</v>
      </c>
      <c r="K7" s="52">
        <f t="shared" si="1"/>
        <v>48</v>
      </c>
      <c r="L7" s="110">
        <f t="shared" si="2"/>
        <v>0.75</v>
      </c>
      <c r="N7" s="131"/>
    </row>
    <row r="8" spans="2:15">
      <c r="B8" s="5"/>
      <c r="C8" s="28" t="s">
        <v>103</v>
      </c>
      <c r="D8" s="111">
        <f>Data!G3</f>
        <v>8</v>
      </c>
      <c r="E8" s="108" t="s">
        <v>102</v>
      </c>
      <c r="F8" s="15"/>
      <c r="G8" s="52">
        <v>8</v>
      </c>
      <c r="H8" s="52">
        <v>32</v>
      </c>
      <c r="I8" s="52">
        <v>256</v>
      </c>
      <c r="J8" s="52">
        <f t="shared" si="0"/>
        <v>64</v>
      </c>
      <c r="K8" s="52">
        <f t="shared" si="1"/>
        <v>256</v>
      </c>
      <c r="L8" s="110">
        <f>I8*D8/1024</f>
        <v>2</v>
      </c>
      <c r="N8" s="41"/>
      <c r="O8" s="26"/>
    </row>
    <row r="9" spans="2:15">
      <c r="B9" s="5"/>
      <c r="C9" s="3"/>
      <c r="D9" s="52"/>
      <c r="E9" s="108"/>
      <c r="F9" s="15"/>
      <c r="G9" s="52"/>
      <c r="H9" s="52"/>
      <c r="I9" s="52"/>
      <c r="J9" s="52"/>
      <c r="K9" s="52"/>
      <c r="L9" s="110"/>
      <c r="N9" s="41"/>
      <c r="O9" s="23"/>
    </row>
    <row r="10" spans="2:15">
      <c r="B10" s="6">
        <v>2</v>
      </c>
      <c r="C10" s="11" t="s">
        <v>104</v>
      </c>
      <c r="D10" s="52"/>
      <c r="E10" s="108"/>
      <c r="F10" s="15"/>
      <c r="G10" s="52"/>
      <c r="H10" s="52"/>
      <c r="I10" s="52"/>
      <c r="J10" s="52"/>
      <c r="K10" s="52"/>
      <c r="L10" s="110"/>
      <c r="N10" s="41"/>
      <c r="O10" s="23"/>
    </row>
    <row r="11" spans="2:15">
      <c r="B11" s="5"/>
      <c r="C11" s="3" t="s">
        <v>129</v>
      </c>
      <c r="D11" s="52">
        <v>3</v>
      </c>
      <c r="E11" s="108" t="s">
        <v>102</v>
      </c>
      <c r="F11" s="15"/>
      <c r="G11" s="52">
        <v>4</v>
      </c>
      <c r="H11" s="52">
        <v>32</v>
      </c>
      <c r="I11" s="52">
        <v>256</v>
      </c>
      <c r="J11" s="52">
        <f t="shared" ref="J11" si="3">G11*D11</f>
        <v>12</v>
      </c>
      <c r="K11" s="52">
        <f t="shared" ref="K11" si="4">H11*D11</f>
        <v>96</v>
      </c>
      <c r="L11" s="110">
        <f t="shared" ref="L11:L12" si="5">I11*D11/1024</f>
        <v>0.75</v>
      </c>
      <c r="N11" s="41"/>
      <c r="O11" s="23"/>
    </row>
    <row r="12" spans="2:15">
      <c r="B12" s="5"/>
      <c r="C12" s="3" t="s">
        <v>106</v>
      </c>
      <c r="D12" s="52">
        <v>1</v>
      </c>
      <c r="E12" s="108"/>
      <c r="F12" s="15"/>
      <c r="G12" s="52"/>
      <c r="H12" s="52"/>
      <c r="I12" s="52">
        <f>I27+D8*1024</f>
        <v>18492</v>
      </c>
      <c r="J12" s="52"/>
      <c r="K12" s="52"/>
      <c r="L12" s="110">
        <f t="shared" si="5"/>
        <v>18.05859375</v>
      </c>
      <c r="N12" s="41"/>
      <c r="O12" s="23"/>
    </row>
    <row r="13" spans="2:15">
      <c r="B13" s="5"/>
      <c r="D13" s="52"/>
      <c r="E13" s="108"/>
      <c r="F13" s="108"/>
      <c r="G13" s="52"/>
      <c r="H13" s="52"/>
      <c r="I13" s="52"/>
      <c r="J13" s="52"/>
      <c r="K13" s="52"/>
      <c r="L13" s="110"/>
      <c r="N13" s="41"/>
    </row>
    <row r="14" spans="2:15">
      <c r="B14" s="6">
        <v>3</v>
      </c>
      <c r="C14" s="22" t="s">
        <v>107</v>
      </c>
      <c r="D14" s="112"/>
      <c r="E14" s="112"/>
      <c r="F14" s="112"/>
      <c r="G14" s="112"/>
      <c r="H14" s="112"/>
      <c r="I14" s="112"/>
      <c r="J14" s="112"/>
      <c r="K14" s="112"/>
      <c r="L14" s="110"/>
      <c r="M14" s="2"/>
      <c r="N14" s="41"/>
    </row>
    <row r="15" spans="2:15">
      <c r="B15" s="5"/>
      <c r="C15" s="14" t="s">
        <v>108</v>
      </c>
      <c r="D15" s="52">
        <v>2</v>
      </c>
      <c r="E15" s="113" t="s">
        <v>98</v>
      </c>
      <c r="F15" s="15"/>
      <c r="G15" s="111">
        <f>Data!G6</f>
        <v>24</v>
      </c>
      <c r="H15" s="52">
        <f>G15*16</f>
        <v>384</v>
      </c>
      <c r="I15" s="52">
        <v>300</v>
      </c>
      <c r="J15" s="52">
        <f>G15*D15</f>
        <v>48</v>
      </c>
      <c r="K15" s="52">
        <f>H15*D15</f>
        <v>768</v>
      </c>
      <c r="L15" s="110">
        <f>I15*D15/1024</f>
        <v>0.5859375</v>
      </c>
      <c r="M15" s="2"/>
      <c r="N15" s="41"/>
    </row>
    <row r="16" spans="2:15">
      <c r="B16" s="5"/>
      <c r="C16" s="28" t="s">
        <v>109</v>
      </c>
      <c r="D16" s="52">
        <v>2</v>
      </c>
      <c r="E16" s="113" t="s">
        <v>98</v>
      </c>
      <c r="F16" s="15"/>
      <c r="G16" s="52"/>
      <c r="H16" s="52"/>
      <c r="I16" s="52"/>
      <c r="J16" s="52"/>
      <c r="K16" s="52"/>
      <c r="L16" s="110"/>
      <c r="M16" s="2"/>
      <c r="N16" s="41"/>
    </row>
    <row r="17" spans="2:14">
      <c r="B17" s="5"/>
      <c r="C17" s="28" t="s">
        <v>110</v>
      </c>
      <c r="D17" s="52">
        <v>2</v>
      </c>
      <c r="E17" s="114" t="s">
        <v>111</v>
      </c>
      <c r="F17" s="114"/>
      <c r="G17" s="115"/>
      <c r="H17" s="52"/>
      <c r="I17" s="111">
        <f>Data!G10</f>
        <v>19500</v>
      </c>
      <c r="J17" s="115"/>
      <c r="K17" s="52"/>
      <c r="L17" s="110">
        <f>I17*D17/1024</f>
        <v>38.0859375</v>
      </c>
      <c r="M17" s="2"/>
      <c r="N17" s="41"/>
    </row>
    <row r="18" spans="2:14">
      <c r="B18" s="5"/>
      <c r="C18" s="28" t="s">
        <v>112</v>
      </c>
      <c r="D18" s="94">
        <v>2</v>
      </c>
      <c r="E18" s="101" t="s">
        <v>111</v>
      </c>
      <c r="F18" s="101"/>
      <c r="G18" s="102"/>
      <c r="H18" s="94"/>
      <c r="I18" s="98">
        <v>5000</v>
      </c>
      <c r="J18" s="102"/>
      <c r="K18" s="94"/>
      <c r="L18" s="97">
        <f>I18*D18/1024</f>
        <v>9.765625</v>
      </c>
      <c r="M18" s="60"/>
      <c r="N18" s="58" t="s">
        <v>113</v>
      </c>
    </row>
    <row r="19" spans="2:14">
      <c r="B19" s="5"/>
      <c r="C19" s="28"/>
      <c r="D19" s="94"/>
      <c r="E19" s="101"/>
      <c r="F19" s="101"/>
      <c r="G19" s="102"/>
      <c r="H19" s="94"/>
      <c r="I19" s="94"/>
      <c r="J19" s="102"/>
      <c r="K19" s="94"/>
      <c r="L19" s="97"/>
      <c r="M19" s="60"/>
      <c r="N19" s="58"/>
    </row>
    <row r="20" spans="2:14">
      <c r="B20" s="6">
        <v>4</v>
      </c>
      <c r="C20" s="22" t="s">
        <v>114</v>
      </c>
      <c r="D20" s="99"/>
      <c r="E20" s="99"/>
      <c r="F20" s="99"/>
      <c r="G20" s="99"/>
      <c r="H20" s="99"/>
      <c r="I20" s="99"/>
      <c r="J20" s="99"/>
      <c r="K20" s="99"/>
      <c r="L20" s="97"/>
      <c r="M20" s="60"/>
      <c r="N20" s="58"/>
    </row>
    <row r="21" spans="2:14">
      <c r="B21" s="5"/>
      <c r="C21" s="14" t="s">
        <v>108</v>
      </c>
      <c r="D21" s="94">
        <v>1</v>
      </c>
      <c r="E21" s="100" t="s">
        <v>98</v>
      </c>
      <c r="F21" s="57"/>
      <c r="G21" s="98">
        <f>G15</f>
        <v>24</v>
      </c>
      <c r="H21" s="94">
        <f>G21*16</f>
        <v>384</v>
      </c>
      <c r="I21" s="94">
        <v>300</v>
      </c>
      <c r="J21" s="94">
        <f>G21*D21</f>
        <v>24</v>
      </c>
      <c r="K21" s="94">
        <f>H21*D21</f>
        <v>384</v>
      </c>
      <c r="L21" s="97">
        <f>I21*D21/1024</f>
        <v>0.29296875</v>
      </c>
      <c r="M21" s="60"/>
      <c r="N21" s="58"/>
    </row>
    <row r="22" spans="2:14">
      <c r="B22" s="5"/>
      <c r="C22" s="28" t="s">
        <v>109</v>
      </c>
      <c r="D22" s="94">
        <v>1</v>
      </c>
      <c r="E22" s="100" t="s">
        <v>98</v>
      </c>
      <c r="F22" s="57"/>
      <c r="G22" s="94"/>
      <c r="H22" s="94"/>
      <c r="I22" s="94"/>
      <c r="J22" s="94"/>
      <c r="K22" s="94"/>
      <c r="L22" s="97"/>
      <c r="M22" s="60"/>
      <c r="N22" s="58"/>
    </row>
    <row r="23" spans="2:14">
      <c r="B23" s="5"/>
      <c r="C23" s="28" t="s">
        <v>110</v>
      </c>
      <c r="D23" s="94">
        <v>1</v>
      </c>
      <c r="E23" s="101" t="s">
        <v>111</v>
      </c>
      <c r="F23" s="101"/>
      <c r="G23" s="102"/>
      <c r="H23" s="94"/>
      <c r="I23" s="98">
        <f>I17</f>
        <v>19500</v>
      </c>
      <c r="J23" s="102"/>
      <c r="K23" s="94"/>
      <c r="L23" s="97">
        <f>I23*D23/1024</f>
        <v>19.04296875</v>
      </c>
      <c r="M23" s="60"/>
      <c r="N23" s="58"/>
    </row>
    <row r="24" spans="2:14">
      <c r="B24" s="5"/>
      <c r="C24" s="28"/>
      <c r="D24" s="94"/>
      <c r="E24" s="101"/>
      <c r="F24" s="101"/>
      <c r="G24" s="102"/>
      <c r="H24" s="94"/>
      <c r="I24" s="94"/>
      <c r="J24" s="102"/>
      <c r="K24" s="94"/>
      <c r="L24" s="97"/>
      <c r="M24" s="60"/>
      <c r="N24" s="58"/>
    </row>
    <row r="25" spans="2:14">
      <c r="B25" s="5"/>
      <c r="C25" s="3"/>
      <c r="D25" s="52"/>
      <c r="E25" s="114"/>
      <c r="F25" s="114"/>
      <c r="G25" s="115"/>
      <c r="H25" s="52"/>
      <c r="I25" s="52"/>
      <c r="J25" s="115"/>
      <c r="K25" s="52"/>
      <c r="L25" s="110"/>
      <c r="M25" s="2"/>
      <c r="N25" s="41"/>
    </row>
    <row r="26" spans="2:14">
      <c r="B26" s="6">
        <v>5</v>
      </c>
      <c r="C26" s="8" t="s">
        <v>115</v>
      </c>
      <c r="D26" s="112"/>
      <c r="E26" s="112"/>
      <c r="F26" s="112"/>
      <c r="G26" s="112"/>
      <c r="H26" s="112"/>
      <c r="I26" s="112"/>
      <c r="J26" s="112"/>
      <c r="K26" s="112"/>
      <c r="L26" s="110"/>
      <c r="M26" s="2"/>
      <c r="N26" s="41"/>
    </row>
    <row r="27" spans="2:14" ht="72">
      <c r="B27" s="5"/>
      <c r="C27" s="29" t="s">
        <v>61</v>
      </c>
      <c r="D27" s="116">
        <v>1</v>
      </c>
      <c r="E27" s="117" t="s">
        <v>116</v>
      </c>
      <c r="F27" s="20" t="s">
        <v>117</v>
      </c>
      <c r="G27" s="52"/>
      <c r="H27" s="52"/>
      <c r="I27" s="111">
        <f>Data!G11</f>
        <v>10300</v>
      </c>
      <c r="J27" s="52"/>
      <c r="K27" s="52"/>
      <c r="L27" s="110">
        <f>I27/1024</f>
        <v>10.05859375</v>
      </c>
      <c r="M27" s="2"/>
      <c r="N27" s="41"/>
    </row>
    <row r="28" spans="2:14">
      <c r="B28" s="5"/>
      <c r="C28" s="1"/>
      <c r="D28" s="52"/>
      <c r="E28" s="113"/>
      <c r="F28" s="113"/>
      <c r="G28" s="52"/>
      <c r="H28" s="52"/>
      <c r="I28" s="52"/>
      <c r="J28" s="52"/>
      <c r="K28" s="52"/>
      <c r="L28" s="110"/>
      <c r="M28" s="2"/>
      <c r="N28" s="41"/>
    </row>
    <row r="29" spans="2:14">
      <c r="B29" s="6">
        <v>5</v>
      </c>
      <c r="C29" s="8" t="s">
        <v>118</v>
      </c>
      <c r="D29" s="112"/>
      <c r="E29" s="112"/>
      <c r="F29" s="112"/>
      <c r="G29" s="112"/>
      <c r="H29" s="112"/>
      <c r="I29" s="112"/>
      <c r="J29" s="112"/>
      <c r="K29" s="112"/>
      <c r="L29" s="110"/>
      <c r="M29" s="2"/>
      <c r="N29" s="41"/>
    </row>
    <row r="30" spans="2:14">
      <c r="B30" s="5"/>
      <c r="C30" s="18" t="s">
        <v>119</v>
      </c>
      <c r="D30" s="52">
        <v>1</v>
      </c>
      <c r="E30" s="108" t="s">
        <v>120</v>
      </c>
      <c r="F30" s="108"/>
      <c r="G30" s="52"/>
      <c r="H30" s="52"/>
      <c r="I30" s="52"/>
      <c r="J30" s="52"/>
      <c r="K30" s="52"/>
      <c r="L30" s="110"/>
      <c r="N30" s="41"/>
    </row>
    <row r="31" spans="2:14">
      <c r="B31" s="5"/>
      <c r="C31" s="18" t="s">
        <v>50</v>
      </c>
      <c r="D31" s="52">
        <v>1</v>
      </c>
      <c r="E31" s="46" t="s">
        <v>121</v>
      </c>
      <c r="F31" s="108"/>
      <c r="G31" s="52"/>
      <c r="H31" s="52"/>
      <c r="I31" s="52">
        <v>1024</v>
      </c>
      <c r="J31" s="52"/>
      <c r="K31" s="52"/>
      <c r="L31" s="110">
        <f>I31/1024</f>
        <v>1</v>
      </c>
      <c r="N31" s="41"/>
    </row>
    <row r="32" spans="2:14">
      <c r="B32" s="5"/>
      <c r="C32" s="18" t="s">
        <v>122</v>
      </c>
      <c r="D32" s="52">
        <v>1</v>
      </c>
      <c r="E32" s="108"/>
      <c r="F32" s="108"/>
      <c r="G32" s="52"/>
      <c r="H32" s="52"/>
      <c r="I32" s="52"/>
      <c r="J32" s="52"/>
      <c r="K32" s="52"/>
      <c r="L32" s="110"/>
      <c r="N32" s="41" t="s">
        <v>123</v>
      </c>
    </row>
    <row r="33" spans="2:14">
      <c r="B33" s="5"/>
      <c r="C33" s="18" t="s">
        <v>100</v>
      </c>
      <c r="D33" s="52">
        <v>1</v>
      </c>
      <c r="E33" s="108"/>
      <c r="F33" s="108"/>
      <c r="G33" s="52">
        <v>2</v>
      </c>
      <c r="H33" s="52">
        <v>8</v>
      </c>
      <c r="I33" s="52">
        <v>256</v>
      </c>
      <c r="J33" s="52">
        <v>4</v>
      </c>
      <c r="K33" s="52">
        <v>8</v>
      </c>
      <c r="L33" s="110">
        <f>I33/1024</f>
        <v>0.25</v>
      </c>
      <c r="N33" s="41" t="s">
        <v>124</v>
      </c>
    </row>
    <row r="34" spans="2:14">
      <c r="B34" s="5"/>
      <c r="C34" s="18" t="s">
        <v>125</v>
      </c>
      <c r="D34" s="52">
        <v>1</v>
      </c>
      <c r="E34" s="46" t="s">
        <v>126</v>
      </c>
      <c r="F34" s="108"/>
      <c r="G34" s="52"/>
      <c r="H34" s="52"/>
      <c r="I34" s="52"/>
      <c r="J34" s="52"/>
      <c r="K34" s="52"/>
      <c r="L34" s="110"/>
      <c r="M34" s="118"/>
      <c r="N34" s="41"/>
    </row>
    <row r="35" spans="2:14">
      <c r="B35" s="5"/>
      <c r="C35" s="19" t="s">
        <v>127</v>
      </c>
      <c r="D35" s="119">
        <v>1</v>
      </c>
      <c r="E35" s="46" t="s">
        <v>128</v>
      </c>
      <c r="F35" s="113"/>
      <c r="G35" s="52"/>
      <c r="H35" s="52"/>
      <c r="I35" s="52"/>
      <c r="J35" s="52"/>
      <c r="K35" s="52"/>
      <c r="L35" s="110"/>
      <c r="M35" s="118"/>
      <c r="N35" s="41"/>
    </row>
    <row r="36" spans="2:14">
      <c r="B36" s="5"/>
    </row>
    <row r="38" spans="2:14">
      <c r="C38" s="23"/>
    </row>
    <row r="39" spans="2:14">
      <c r="C39" s="23"/>
      <c r="G39" s="4"/>
      <c r="H39" s="4"/>
      <c r="I39" s="4"/>
      <c r="J39" s="4"/>
      <c r="K39" s="4"/>
      <c r="L39" s="4"/>
      <c r="M39" s="4"/>
      <c r="N39" s="4"/>
    </row>
    <row r="40" spans="2:14">
      <c r="C40" s="24"/>
      <c r="G40" s="4"/>
      <c r="H40" s="4"/>
      <c r="I40" s="4"/>
      <c r="J40" s="4"/>
      <c r="K40" s="4"/>
      <c r="L40" s="4"/>
      <c r="M40" s="4"/>
      <c r="N40" s="4"/>
    </row>
    <row r="41" spans="2:14" ht="17.45">
      <c r="C41" s="25"/>
      <c r="G41" s="4"/>
      <c r="H41" s="4"/>
      <c r="I41" s="4"/>
      <c r="J41" s="4"/>
      <c r="K41" s="4"/>
      <c r="L41" s="4"/>
      <c r="M41" s="4"/>
      <c r="N41" s="4"/>
    </row>
    <row r="42" spans="2:14">
      <c r="G42" s="4"/>
      <c r="H42" s="4"/>
      <c r="I42" s="4"/>
      <c r="J42" s="4"/>
      <c r="K42" s="4"/>
      <c r="L42" s="4"/>
      <c r="M42" s="4"/>
      <c r="N42" s="4"/>
    </row>
    <row r="43" spans="2:14">
      <c r="C43" s="26"/>
      <c r="G43" s="4"/>
      <c r="H43" s="4"/>
      <c r="I43" s="4"/>
      <c r="J43" s="4"/>
      <c r="K43" s="4"/>
      <c r="L43" s="4"/>
      <c r="M43" s="4"/>
      <c r="N43" s="4"/>
    </row>
    <row r="44" spans="2:14">
      <c r="C44" s="23"/>
      <c r="G44" s="4"/>
      <c r="H44" s="4"/>
      <c r="I44" s="4"/>
      <c r="J44" s="4"/>
      <c r="K44" s="4"/>
      <c r="L44" s="4"/>
      <c r="M44" s="4"/>
      <c r="N44" s="4"/>
    </row>
    <row r="45" spans="2:14">
      <c r="C45" s="23"/>
      <c r="G45" s="4"/>
      <c r="H45" s="4"/>
      <c r="I45" s="4"/>
      <c r="J45" s="4"/>
      <c r="K45" s="4"/>
      <c r="L45" s="4"/>
      <c r="M45" s="4"/>
      <c r="N45" s="4"/>
    </row>
    <row r="46" spans="2:14">
      <c r="C46" s="23"/>
      <c r="G46" s="4"/>
      <c r="H46" s="4"/>
      <c r="I46" s="4"/>
      <c r="J46" s="4"/>
      <c r="K46" s="4"/>
      <c r="L46" s="4"/>
      <c r="M46" s="4"/>
      <c r="N46" s="4"/>
    </row>
    <row r="47" spans="2:14">
      <c r="C47" s="23"/>
      <c r="G47" s="4"/>
      <c r="H47" s="4"/>
      <c r="I47" s="4"/>
      <c r="J47" s="4"/>
      <c r="K47" s="4"/>
      <c r="L47" s="4"/>
      <c r="M47" s="4"/>
      <c r="N47" s="4"/>
    </row>
    <row r="48" spans="2:14">
      <c r="C48" s="27"/>
      <c r="G48" s="4"/>
      <c r="H48" s="4"/>
      <c r="I48" s="4"/>
      <c r="J48" s="4"/>
      <c r="K48" s="4"/>
      <c r="L48" s="4"/>
      <c r="M48" s="4"/>
      <c r="N48" s="4"/>
    </row>
    <row r="49" spans="7:14">
      <c r="G49" s="4"/>
      <c r="H49" s="4"/>
      <c r="I49" s="4"/>
      <c r="J49" s="4"/>
      <c r="K49" s="4"/>
      <c r="L49" s="4"/>
      <c r="M49" s="4"/>
      <c r="N49" s="4"/>
    </row>
    <row r="50" spans="7:14">
      <c r="G50" s="4"/>
      <c r="H50" s="4"/>
      <c r="I50" s="4"/>
      <c r="J50" s="4"/>
      <c r="K50" s="4"/>
      <c r="L50" s="4"/>
      <c r="M50" s="4"/>
      <c r="N50" s="4"/>
    </row>
  </sheetData>
  <mergeCells count="2">
    <mergeCell ref="N5:N7"/>
    <mergeCell ref="B2:N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FC4-6EFC-4970-A5E1-B382963BD071}">
  <sheetPr codeName="Sheet8"/>
  <dimension ref="B1:O42"/>
  <sheetViews>
    <sheetView showGridLines="0" topLeftCell="A2" zoomScale="70" zoomScaleNormal="70" workbookViewId="0">
      <selection activeCell="F20" sqref="F20"/>
    </sheetView>
  </sheetViews>
  <sheetFormatPr defaultColWidth="8.85546875" defaultRowHeight="14.45"/>
  <cols>
    <col min="2" max="2" width="7.42578125" customWidth="1"/>
    <col min="3" max="3" width="76" customWidth="1"/>
    <col min="4" max="4" width="14.28515625" style="5" customWidth="1"/>
    <col min="5" max="5" width="23.28515625" style="4" customWidth="1"/>
    <col min="6" max="6" width="25.140625" style="4" customWidth="1"/>
    <col min="7" max="8" width="9.28515625" style="5" bestFit="1" customWidth="1"/>
    <col min="9" max="9" width="11.42578125" style="5" customWidth="1"/>
    <col min="10" max="10" width="8.42578125" style="5" bestFit="1" customWidth="1"/>
    <col min="11" max="11" width="8.42578125" style="5" customWidth="1"/>
    <col min="12" max="12" width="11.42578125" style="5" customWidth="1"/>
    <col min="13" max="13" width="2.140625" hidden="1" customWidth="1"/>
    <col min="14" max="14" width="38.42578125" customWidth="1"/>
  </cols>
  <sheetData>
    <row r="1" spans="2:15" ht="18">
      <c r="D1" s="7"/>
      <c r="E1" s="7"/>
      <c r="F1" s="7"/>
      <c r="G1" s="7"/>
      <c r="H1" s="7"/>
      <c r="I1" s="7"/>
      <c r="J1" s="7"/>
      <c r="K1" s="7"/>
      <c r="L1" s="7"/>
    </row>
    <row r="2" spans="2:15" ht="30" customHeight="1">
      <c r="B2" s="121" t="s">
        <v>130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3" spans="2:15" s="4" customFormat="1" ht="69.75" customHeight="1">
      <c r="B3" s="43" t="s">
        <v>85</v>
      </c>
      <c r="C3" s="43" t="s">
        <v>86</v>
      </c>
      <c r="D3" s="43" t="s">
        <v>87</v>
      </c>
      <c r="E3" s="43" t="s">
        <v>88</v>
      </c>
      <c r="F3" s="43" t="s">
        <v>89</v>
      </c>
      <c r="G3" s="43" t="s">
        <v>90</v>
      </c>
      <c r="H3" s="43" t="s">
        <v>91</v>
      </c>
      <c r="I3" s="43" t="s">
        <v>92</v>
      </c>
      <c r="J3" s="43" t="s">
        <v>93</v>
      </c>
      <c r="K3" s="43" t="s">
        <v>94</v>
      </c>
      <c r="L3" s="43" t="s">
        <v>95</v>
      </c>
      <c r="M3" s="44"/>
      <c r="N3" s="43" t="s">
        <v>89</v>
      </c>
      <c r="O3" s="37"/>
    </row>
    <row r="4" spans="2:15">
      <c r="B4" s="12">
        <v>1</v>
      </c>
      <c r="C4" s="11" t="s">
        <v>96</v>
      </c>
      <c r="D4" s="106"/>
      <c r="E4" s="107"/>
      <c r="F4" s="107"/>
      <c r="G4" s="106"/>
      <c r="H4" s="106"/>
      <c r="I4" s="106"/>
      <c r="J4" s="106"/>
      <c r="K4" s="106"/>
      <c r="L4" s="106"/>
      <c r="N4" s="41"/>
    </row>
    <row r="5" spans="2:15">
      <c r="B5" s="9"/>
      <c r="C5" s="10" t="s">
        <v>97</v>
      </c>
      <c r="D5" s="52">
        <v>1</v>
      </c>
      <c r="E5" s="108" t="s">
        <v>98</v>
      </c>
      <c r="F5" s="109"/>
      <c r="G5" s="52">
        <v>2</v>
      </c>
      <c r="H5" s="52">
        <v>16</v>
      </c>
      <c r="I5" s="52">
        <v>256</v>
      </c>
      <c r="J5" s="52">
        <f t="shared" ref="J5:J8" si="0">G5*D5</f>
        <v>2</v>
      </c>
      <c r="K5" s="52">
        <f t="shared" ref="K5:K8" si="1">H5*D5</f>
        <v>16</v>
      </c>
      <c r="L5" s="110">
        <f t="shared" ref="L5:L7" si="2">I5*D5/1024</f>
        <v>0.25</v>
      </c>
      <c r="N5" s="131" t="s">
        <v>99</v>
      </c>
    </row>
    <row r="6" spans="2:15">
      <c r="B6" s="9"/>
      <c r="C6" s="10" t="s">
        <v>100</v>
      </c>
      <c r="D6" s="52">
        <v>1</v>
      </c>
      <c r="E6" s="108" t="s">
        <v>98</v>
      </c>
      <c r="F6" s="21"/>
      <c r="G6" s="52">
        <v>2</v>
      </c>
      <c r="H6" s="52">
        <v>16</v>
      </c>
      <c r="I6" s="52">
        <v>256</v>
      </c>
      <c r="J6" s="52">
        <f t="shared" si="0"/>
        <v>2</v>
      </c>
      <c r="K6" s="52">
        <f t="shared" si="1"/>
        <v>16</v>
      </c>
      <c r="L6" s="110">
        <f t="shared" si="2"/>
        <v>0.25</v>
      </c>
      <c r="N6" s="131"/>
    </row>
    <row r="7" spans="2:15">
      <c r="B7" s="9"/>
      <c r="C7" s="10" t="s">
        <v>101</v>
      </c>
      <c r="D7" s="52">
        <v>3</v>
      </c>
      <c r="E7" s="108" t="s">
        <v>102</v>
      </c>
      <c r="F7" s="21"/>
      <c r="G7" s="52">
        <v>4</v>
      </c>
      <c r="H7" s="52">
        <v>16</v>
      </c>
      <c r="I7" s="52">
        <v>256</v>
      </c>
      <c r="J7" s="52">
        <f t="shared" si="0"/>
        <v>12</v>
      </c>
      <c r="K7" s="52">
        <f t="shared" si="1"/>
        <v>48</v>
      </c>
      <c r="L7" s="110">
        <f t="shared" si="2"/>
        <v>0.75</v>
      </c>
      <c r="N7" s="131"/>
    </row>
    <row r="8" spans="2:15">
      <c r="B8" s="5"/>
      <c r="C8" s="28" t="s">
        <v>103</v>
      </c>
      <c r="D8" s="111">
        <f>'PROD-5Yr'!D8</f>
        <v>8</v>
      </c>
      <c r="E8" s="108" t="s">
        <v>102</v>
      </c>
      <c r="F8" s="15"/>
      <c r="G8" s="52">
        <v>8</v>
      </c>
      <c r="H8" s="52">
        <v>32</v>
      </c>
      <c r="I8" s="52">
        <v>256</v>
      </c>
      <c r="J8" s="52">
        <f t="shared" si="0"/>
        <v>64</v>
      </c>
      <c r="K8" s="52">
        <f t="shared" si="1"/>
        <v>256</v>
      </c>
      <c r="L8" s="110">
        <f>I8*D8/1024</f>
        <v>2</v>
      </c>
      <c r="N8" s="41"/>
      <c r="O8" s="26"/>
    </row>
    <row r="9" spans="2:15">
      <c r="B9" s="5"/>
      <c r="C9" s="3"/>
      <c r="D9" s="52"/>
      <c r="E9" s="108"/>
      <c r="F9" s="15"/>
      <c r="G9" s="52"/>
      <c r="H9" s="52"/>
      <c r="I9" s="52"/>
      <c r="J9" s="52"/>
      <c r="K9" s="52"/>
      <c r="L9" s="110"/>
      <c r="N9" s="41"/>
      <c r="O9" s="23"/>
    </row>
    <row r="10" spans="2:15">
      <c r="B10" s="6">
        <v>2</v>
      </c>
      <c r="C10" s="11" t="s">
        <v>104</v>
      </c>
      <c r="D10" s="52"/>
      <c r="E10" s="108"/>
      <c r="F10" s="15"/>
      <c r="G10" s="52"/>
      <c r="H10" s="52"/>
      <c r="I10" s="52"/>
      <c r="J10" s="52"/>
      <c r="K10" s="52"/>
      <c r="L10" s="110"/>
      <c r="N10" s="41"/>
      <c r="O10" s="23"/>
    </row>
    <row r="11" spans="2:15">
      <c r="B11" s="5"/>
      <c r="C11" s="3" t="s">
        <v>129</v>
      </c>
      <c r="D11" s="52">
        <v>3</v>
      </c>
      <c r="E11" s="108" t="s">
        <v>102</v>
      </c>
      <c r="F11" s="15"/>
      <c r="G11" s="52">
        <v>4</v>
      </c>
      <c r="H11" s="52">
        <v>32</v>
      </c>
      <c r="I11" s="52">
        <v>256</v>
      </c>
      <c r="J11" s="52">
        <f t="shared" ref="J11" si="3">G11*D11</f>
        <v>12</v>
      </c>
      <c r="K11" s="52">
        <f t="shared" ref="K11" si="4">H11*D11</f>
        <v>96</v>
      </c>
      <c r="L11" s="110">
        <f t="shared" ref="L11:L12" si="5">I11*D11/1024</f>
        <v>0.75</v>
      </c>
      <c r="N11" s="41"/>
      <c r="O11" s="23"/>
    </row>
    <row r="12" spans="2:15">
      <c r="B12" s="5"/>
      <c r="C12" s="3" t="s">
        <v>106</v>
      </c>
      <c r="D12" s="52">
        <v>1</v>
      </c>
      <c r="E12" s="108"/>
      <c r="F12" s="15"/>
      <c r="G12" s="52"/>
      <c r="H12" s="52"/>
      <c r="I12" s="52">
        <f>I20+D8*1024</f>
        <v>18492</v>
      </c>
      <c r="J12" s="52"/>
      <c r="K12" s="52"/>
      <c r="L12" s="110">
        <f t="shared" si="5"/>
        <v>18.05859375</v>
      </c>
      <c r="N12" s="41"/>
      <c r="O12" s="23"/>
    </row>
    <row r="13" spans="2:15">
      <c r="B13" s="5"/>
      <c r="D13" s="52"/>
      <c r="E13" s="108"/>
      <c r="F13" s="108"/>
      <c r="G13" s="52"/>
      <c r="H13" s="52"/>
      <c r="I13" s="52"/>
      <c r="J13" s="52"/>
      <c r="K13" s="52"/>
      <c r="L13" s="110"/>
      <c r="N13" s="41"/>
    </row>
    <row r="14" spans="2:15">
      <c r="B14" s="6">
        <v>3</v>
      </c>
      <c r="C14" s="22" t="s">
        <v>107</v>
      </c>
      <c r="D14" s="112"/>
      <c r="E14" s="112"/>
      <c r="F14" s="112"/>
      <c r="G14" s="112"/>
      <c r="H14" s="112"/>
      <c r="I14" s="112"/>
      <c r="J14" s="112"/>
      <c r="K14" s="112"/>
      <c r="L14" s="110"/>
      <c r="M14" s="2"/>
      <c r="N14" s="41"/>
    </row>
    <row r="15" spans="2:15">
      <c r="B15" s="5"/>
      <c r="C15" s="14" t="s">
        <v>108</v>
      </c>
      <c r="D15" s="52">
        <v>2</v>
      </c>
      <c r="E15" s="113" t="s">
        <v>98</v>
      </c>
      <c r="F15" s="15"/>
      <c r="G15" s="111">
        <f>'PROD-5Yr'!G15</f>
        <v>24</v>
      </c>
      <c r="H15" s="52">
        <f>G15*16</f>
        <v>384</v>
      </c>
      <c r="I15" s="52">
        <v>300</v>
      </c>
      <c r="J15" s="52">
        <f>G15*D15</f>
        <v>48</v>
      </c>
      <c r="K15" s="52">
        <f>H15*D15</f>
        <v>768</v>
      </c>
      <c r="L15" s="110">
        <f>I15*D15/1024</f>
        <v>0.5859375</v>
      </c>
      <c r="M15" s="2"/>
      <c r="N15" s="41"/>
    </row>
    <row r="16" spans="2:15">
      <c r="B16" s="5"/>
      <c r="C16" s="28" t="s">
        <v>109</v>
      </c>
      <c r="D16" s="52">
        <v>2</v>
      </c>
      <c r="E16" s="113" t="s">
        <v>98</v>
      </c>
      <c r="F16" s="15"/>
      <c r="G16" s="52"/>
      <c r="H16" s="52"/>
      <c r="I16" s="52"/>
      <c r="J16" s="52"/>
      <c r="K16" s="52"/>
      <c r="L16" s="110"/>
      <c r="M16" s="2"/>
      <c r="N16" s="41"/>
    </row>
    <row r="17" spans="2:14">
      <c r="B17" s="5"/>
      <c r="C17" s="28" t="s">
        <v>110</v>
      </c>
      <c r="D17" s="52">
        <v>2</v>
      </c>
      <c r="E17" s="114" t="s">
        <v>111</v>
      </c>
      <c r="F17" s="114"/>
      <c r="G17" s="115"/>
      <c r="H17" s="52"/>
      <c r="I17" s="111">
        <f>'PROD-5Yr'!I17</f>
        <v>19500</v>
      </c>
      <c r="J17" s="115"/>
      <c r="K17" s="52"/>
      <c r="L17" s="110">
        <f>I17*D17/1024</f>
        <v>38.0859375</v>
      </c>
      <c r="M17" s="2"/>
      <c r="N17" s="41"/>
    </row>
    <row r="18" spans="2:14">
      <c r="B18" s="5"/>
      <c r="C18" s="3"/>
      <c r="D18" s="52"/>
      <c r="E18" s="114"/>
      <c r="F18" s="114"/>
      <c r="G18" s="115"/>
      <c r="H18" s="52"/>
      <c r="I18" s="52"/>
      <c r="J18" s="115"/>
      <c r="K18" s="52"/>
      <c r="L18" s="110"/>
      <c r="M18" s="2"/>
      <c r="N18" s="41"/>
    </row>
    <row r="19" spans="2:14">
      <c r="B19" s="6">
        <v>4</v>
      </c>
      <c r="C19" s="8" t="s">
        <v>115</v>
      </c>
      <c r="D19" s="112"/>
      <c r="E19" s="112"/>
      <c r="F19" s="112"/>
      <c r="G19" s="112"/>
      <c r="H19" s="112"/>
      <c r="I19" s="112"/>
      <c r="J19" s="112"/>
      <c r="K19" s="112"/>
      <c r="L19" s="110"/>
      <c r="M19" s="2"/>
      <c r="N19" s="41"/>
    </row>
    <row r="20" spans="2:14" ht="72">
      <c r="B20" s="5"/>
      <c r="C20" s="29" t="s">
        <v>61</v>
      </c>
      <c r="D20" s="116">
        <v>1</v>
      </c>
      <c r="E20" s="117" t="s">
        <v>116</v>
      </c>
      <c r="F20" s="20" t="s">
        <v>117</v>
      </c>
      <c r="G20" s="52"/>
      <c r="H20" s="52"/>
      <c r="I20" s="111">
        <f>'PROD-5Yr'!I27</f>
        <v>10300</v>
      </c>
      <c r="J20" s="52"/>
      <c r="K20" s="52"/>
      <c r="L20" s="110">
        <f>I20/1024</f>
        <v>10.05859375</v>
      </c>
      <c r="M20" s="2"/>
      <c r="N20" s="41"/>
    </row>
    <row r="21" spans="2:14">
      <c r="B21" s="5"/>
      <c r="C21" s="1"/>
      <c r="D21" s="52"/>
      <c r="E21" s="113"/>
      <c r="F21" s="113"/>
      <c r="G21" s="52"/>
      <c r="H21" s="52"/>
      <c r="I21" s="52"/>
      <c r="J21" s="52"/>
      <c r="K21" s="52"/>
      <c r="L21" s="110"/>
      <c r="M21" s="2"/>
      <c r="N21" s="41"/>
    </row>
    <row r="22" spans="2:14">
      <c r="B22" s="6">
        <v>5</v>
      </c>
      <c r="C22" s="8" t="s">
        <v>118</v>
      </c>
      <c r="D22" s="112"/>
      <c r="E22" s="112"/>
      <c r="F22" s="112"/>
      <c r="G22" s="112"/>
      <c r="H22" s="112"/>
      <c r="I22" s="112"/>
      <c r="J22" s="112"/>
      <c r="K22" s="112"/>
      <c r="L22" s="110"/>
      <c r="M22" s="2"/>
      <c r="N22" s="41"/>
    </row>
    <row r="23" spans="2:14">
      <c r="B23" s="5"/>
      <c r="C23" s="18" t="s">
        <v>119</v>
      </c>
      <c r="D23" s="52">
        <v>1</v>
      </c>
      <c r="E23" s="108" t="s">
        <v>120</v>
      </c>
      <c r="F23" s="108"/>
      <c r="G23" s="52"/>
      <c r="H23" s="52"/>
      <c r="I23" s="52"/>
      <c r="J23" s="52"/>
      <c r="K23" s="52"/>
      <c r="L23" s="110"/>
      <c r="N23" s="41"/>
    </row>
    <row r="24" spans="2:14">
      <c r="B24" s="5"/>
      <c r="C24" s="18" t="s">
        <v>50</v>
      </c>
      <c r="D24" s="52">
        <v>1</v>
      </c>
      <c r="E24" s="46" t="s">
        <v>121</v>
      </c>
      <c r="F24" s="108"/>
      <c r="G24" s="52"/>
      <c r="H24" s="52"/>
      <c r="I24" s="52">
        <v>1024</v>
      </c>
      <c r="J24" s="52"/>
      <c r="K24" s="52"/>
      <c r="L24" s="110">
        <f>I24/1024</f>
        <v>1</v>
      </c>
      <c r="N24" s="41"/>
    </row>
    <row r="25" spans="2:14">
      <c r="B25" s="5"/>
      <c r="C25" s="18" t="s">
        <v>122</v>
      </c>
      <c r="D25" s="52">
        <v>1</v>
      </c>
      <c r="E25" s="108"/>
      <c r="F25" s="108"/>
      <c r="G25" s="52"/>
      <c r="H25" s="52"/>
      <c r="I25" s="52"/>
      <c r="J25" s="52"/>
      <c r="K25" s="52"/>
      <c r="L25" s="110"/>
      <c r="N25" s="41" t="s">
        <v>123</v>
      </c>
    </row>
    <row r="26" spans="2:14">
      <c r="B26" s="5"/>
      <c r="C26" s="18" t="s">
        <v>100</v>
      </c>
      <c r="D26" s="52">
        <v>1</v>
      </c>
      <c r="E26" s="108"/>
      <c r="F26" s="108"/>
      <c r="G26" s="52">
        <v>2</v>
      </c>
      <c r="H26" s="52">
        <v>8</v>
      </c>
      <c r="I26" s="52">
        <v>256</v>
      </c>
      <c r="J26" s="52">
        <v>4</v>
      </c>
      <c r="K26" s="52">
        <v>8</v>
      </c>
      <c r="L26" s="110">
        <f>I26/1024</f>
        <v>0.25</v>
      </c>
      <c r="N26" s="41" t="s">
        <v>124</v>
      </c>
    </row>
    <row r="27" spans="2:14">
      <c r="B27" s="5"/>
      <c r="C27" s="18" t="s">
        <v>125</v>
      </c>
      <c r="D27" s="52">
        <v>1</v>
      </c>
      <c r="E27" s="46" t="s">
        <v>126</v>
      </c>
      <c r="F27" s="108"/>
      <c r="G27" s="52"/>
      <c r="H27" s="52"/>
      <c r="I27" s="52"/>
      <c r="J27" s="52"/>
      <c r="K27" s="52"/>
      <c r="L27" s="110"/>
      <c r="M27" s="118"/>
      <c r="N27" s="41"/>
    </row>
    <row r="28" spans="2:14">
      <c r="B28" s="5"/>
    </row>
    <row r="30" spans="2:14">
      <c r="C30" s="23"/>
    </row>
    <row r="31" spans="2:14">
      <c r="C31" s="23"/>
      <c r="G31" s="4"/>
      <c r="H31" s="4"/>
      <c r="I31" s="4"/>
      <c r="J31" s="4"/>
      <c r="K31" s="4"/>
      <c r="L31" s="4"/>
      <c r="M31" s="4"/>
      <c r="N31" s="4"/>
    </row>
    <row r="32" spans="2:14">
      <c r="C32" s="24"/>
      <c r="G32" s="4"/>
      <c r="H32" s="4"/>
      <c r="I32" s="4"/>
      <c r="J32" s="4"/>
      <c r="K32" s="4"/>
      <c r="L32" s="4"/>
      <c r="M32" s="4"/>
      <c r="N32" s="4"/>
    </row>
    <row r="33" spans="3:14" ht="17.45">
      <c r="C33" s="25"/>
      <c r="G33" s="4"/>
      <c r="H33" s="4"/>
      <c r="I33" s="4"/>
      <c r="J33" s="4"/>
      <c r="K33" s="4"/>
      <c r="L33" s="4"/>
      <c r="M33" s="4"/>
      <c r="N33" s="4"/>
    </row>
    <row r="34" spans="3:14">
      <c r="G34" s="4"/>
      <c r="H34" s="4"/>
      <c r="I34" s="4"/>
      <c r="J34" s="4"/>
      <c r="K34" s="4"/>
      <c r="L34" s="4"/>
      <c r="M34" s="4"/>
      <c r="N34" s="4"/>
    </row>
    <row r="35" spans="3:14">
      <c r="C35" s="26"/>
      <c r="G35" s="4"/>
      <c r="H35" s="4"/>
      <c r="I35" s="4"/>
      <c r="J35" s="4"/>
      <c r="K35" s="4"/>
      <c r="L35" s="4"/>
      <c r="M35" s="4"/>
      <c r="N35" s="4"/>
    </row>
    <row r="36" spans="3:14">
      <c r="C36" s="23"/>
      <c r="G36" s="4"/>
      <c r="H36" s="4"/>
      <c r="I36" s="4"/>
      <c r="J36" s="4"/>
      <c r="K36" s="4"/>
      <c r="L36" s="4"/>
      <c r="M36" s="4"/>
      <c r="N36" s="4"/>
    </row>
    <row r="37" spans="3:14">
      <c r="C37" s="23"/>
      <c r="G37" s="4"/>
      <c r="H37" s="4"/>
      <c r="I37" s="4"/>
      <c r="J37" s="4"/>
      <c r="K37" s="4"/>
      <c r="L37" s="4"/>
      <c r="M37" s="4"/>
      <c r="N37" s="4"/>
    </row>
    <row r="38" spans="3:14">
      <c r="C38" s="23"/>
      <c r="G38" s="4"/>
      <c r="H38" s="4"/>
      <c r="I38" s="4"/>
      <c r="J38" s="4"/>
      <c r="K38" s="4"/>
      <c r="L38" s="4"/>
      <c r="M38" s="4"/>
      <c r="N38" s="4"/>
    </row>
    <row r="39" spans="3:14">
      <c r="C39" s="23"/>
      <c r="G39" s="4"/>
      <c r="H39" s="4"/>
      <c r="I39" s="4"/>
      <c r="J39" s="4"/>
      <c r="K39" s="4"/>
      <c r="L39" s="4"/>
      <c r="M39" s="4"/>
      <c r="N39" s="4"/>
    </row>
    <row r="40" spans="3:14">
      <c r="C40" s="27"/>
      <c r="G40" s="4"/>
      <c r="H40" s="4"/>
      <c r="I40" s="4"/>
      <c r="J40" s="4"/>
      <c r="K40" s="4"/>
      <c r="L40" s="4"/>
      <c r="M40" s="4"/>
      <c r="N40" s="4"/>
    </row>
    <row r="41" spans="3:14">
      <c r="G41" s="4"/>
      <c r="H41" s="4"/>
      <c r="I41" s="4"/>
      <c r="J41" s="4"/>
      <c r="K41" s="4"/>
      <c r="L41" s="4"/>
      <c r="M41" s="4"/>
      <c r="N41" s="4"/>
    </row>
    <row r="42" spans="3:14">
      <c r="G42" s="4"/>
      <c r="H42" s="4"/>
      <c r="I42" s="4"/>
      <c r="J42" s="4"/>
      <c r="K42" s="4"/>
      <c r="L42" s="4"/>
      <c r="M42" s="4"/>
      <c r="N42" s="4"/>
    </row>
  </sheetData>
  <mergeCells count="2">
    <mergeCell ref="N5:N7"/>
    <mergeCell ref="B2:N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A7038-0E8A-4629-8EE8-038F7724AB71}">
  <sheetPr codeName="Sheet9"/>
  <dimension ref="B1:O42"/>
  <sheetViews>
    <sheetView showGridLines="0" topLeftCell="A3" zoomScale="70" zoomScaleNormal="70" workbookViewId="0">
      <selection activeCell="I17" sqref="I17"/>
    </sheetView>
  </sheetViews>
  <sheetFormatPr defaultColWidth="8.85546875" defaultRowHeight="14.45"/>
  <cols>
    <col min="2" max="2" width="7.42578125" customWidth="1"/>
    <col min="3" max="3" width="76" customWidth="1"/>
    <col min="4" max="4" width="14.28515625" style="5" customWidth="1"/>
    <col min="5" max="5" width="23.28515625" style="4" customWidth="1"/>
    <col min="6" max="6" width="25.140625" style="4" customWidth="1"/>
    <col min="7" max="8" width="9.28515625" style="5" bestFit="1" customWidth="1"/>
    <col min="9" max="9" width="11.42578125" style="5" customWidth="1"/>
    <col min="10" max="10" width="8.42578125" style="5" bestFit="1" customWidth="1"/>
    <col min="11" max="11" width="8.42578125" style="5" customWidth="1"/>
    <col min="12" max="12" width="11.42578125" style="5" customWidth="1"/>
    <col min="13" max="13" width="2.140625" hidden="1" customWidth="1"/>
    <col min="14" max="14" width="38.42578125" customWidth="1"/>
  </cols>
  <sheetData>
    <row r="1" spans="2:15" ht="18">
      <c r="D1" s="7"/>
      <c r="E1" s="7"/>
      <c r="F1" s="7"/>
      <c r="G1" s="7"/>
      <c r="H1" s="7"/>
      <c r="I1" s="7"/>
      <c r="J1" s="7"/>
      <c r="K1" s="7"/>
      <c r="L1" s="7"/>
    </row>
    <row r="2" spans="2:15" ht="30" customHeight="1">
      <c r="B2" s="121" t="s">
        <v>131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3" spans="2:15" s="4" customFormat="1" ht="69.75" customHeight="1">
      <c r="B3" s="43" t="s">
        <v>85</v>
      </c>
      <c r="C3" s="43" t="s">
        <v>86</v>
      </c>
      <c r="D3" s="43" t="s">
        <v>87</v>
      </c>
      <c r="E3" s="43" t="s">
        <v>88</v>
      </c>
      <c r="F3" s="43" t="s">
        <v>89</v>
      </c>
      <c r="G3" s="43" t="s">
        <v>90</v>
      </c>
      <c r="H3" s="43" t="s">
        <v>91</v>
      </c>
      <c r="I3" s="43" t="s">
        <v>92</v>
      </c>
      <c r="J3" s="43" t="s">
        <v>93</v>
      </c>
      <c r="K3" s="43" t="s">
        <v>94</v>
      </c>
      <c r="L3" s="43" t="s">
        <v>95</v>
      </c>
      <c r="M3" s="44"/>
      <c r="N3" s="43" t="s">
        <v>89</v>
      </c>
      <c r="O3" s="37"/>
    </row>
    <row r="4" spans="2:15">
      <c r="B4" s="12">
        <v>1</v>
      </c>
      <c r="C4" s="11" t="s">
        <v>96</v>
      </c>
      <c r="D4" s="106"/>
      <c r="E4" s="107"/>
      <c r="F4" s="107"/>
      <c r="G4" s="106"/>
      <c r="H4" s="106"/>
      <c r="I4" s="106"/>
      <c r="J4" s="106"/>
      <c r="K4" s="106"/>
      <c r="L4" s="106"/>
      <c r="N4" s="41"/>
    </row>
    <row r="5" spans="2:15">
      <c r="B5" s="9"/>
      <c r="C5" s="10" t="s">
        <v>97</v>
      </c>
      <c r="D5" s="52">
        <v>1</v>
      </c>
      <c r="E5" s="108" t="s">
        <v>98</v>
      </c>
      <c r="F5" s="109"/>
      <c r="G5" s="52">
        <v>2</v>
      </c>
      <c r="H5" s="52">
        <v>16</v>
      </c>
      <c r="I5" s="52">
        <v>256</v>
      </c>
      <c r="J5" s="52">
        <f t="shared" ref="J5:J8" si="0">G5*D5</f>
        <v>2</v>
      </c>
      <c r="K5" s="52">
        <f t="shared" ref="K5:K8" si="1">H5*D5</f>
        <v>16</v>
      </c>
      <c r="L5" s="110">
        <f t="shared" ref="L5:L7" si="2">I5*D5/1024</f>
        <v>0.25</v>
      </c>
      <c r="N5" s="131" t="s">
        <v>99</v>
      </c>
    </row>
    <row r="6" spans="2:15">
      <c r="B6" s="9"/>
      <c r="C6" s="10" t="s">
        <v>100</v>
      </c>
      <c r="D6" s="52">
        <v>1</v>
      </c>
      <c r="E6" s="108" t="s">
        <v>98</v>
      </c>
      <c r="F6" s="21"/>
      <c r="G6" s="52">
        <v>2</v>
      </c>
      <c r="H6" s="52">
        <v>16</v>
      </c>
      <c r="I6" s="52">
        <v>256</v>
      </c>
      <c r="J6" s="52">
        <f t="shared" si="0"/>
        <v>2</v>
      </c>
      <c r="K6" s="52">
        <f t="shared" si="1"/>
        <v>16</v>
      </c>
      <c r="L6" s="110">
        <f t="shared" si="2"/>
        <v>0.25</v>
      </c>
      <c r="N6" s="131"/>
    </row>
    <row r="7" spans="2:15">
      <c r="B7" s="9"/>
      <c r="C7" s="10" t="s">
        <v>101</v>
      </c>
      <c r="D7" s="52">
        <v>3</v>
      </c>
      <c r="E7" s="108" t="s">
        <v>102</v>
      </c>
      <c r="F7" s="21"/>
      <c r="G7" s="52">
        <v>4</v>
      </c>
      <c r="H7" s="52">
        <v>16</v>
      </c>
      <c r="I7" s="52">
        <v>256</v>
      </c>
      <c r="J7" s="52">
        <f t="shared" si="0"/>
        <v>12</v>
      </c>
      <c r="K7" s="52">
        <f t="shared" si="1"/>
        <v>48</v>
      </c>
      <c r="L7" s="110">
        <f t="shared" si="2"/>
        <v>0.75</v>
      </c>
      <c r="N7" s="131"/>
    </row>
    <row r="8" spans="2:15">
      <c r="B8" s="5"/>
      <c r="C8" s="28" t="s">
        <v>103</v>
      </c>
      <c r="D8" s="52">
        <v>1</v>
      </c>
      <c r="E8" s="108" t="s">
        <v>102</v>
      </c>
      <c r="F8" s="15"/>
      <c r="G8" s="52">
        <v>8</v>
      </c>
      <c r="H8" s="52">
        <v>32</v>
      </c>
      <c r="I8" s="52">
        <v>256</v>
      </c>
      <c r="J8" s="52">
        <f t="shared" si="0"/>
        <v>8</v>
      </c>
      <c r="K8" s="52">
        <f t="shared" si="1"/>
        <v>32</v>
      </c>
      <c r="L8" s="110">
        <f>I8*D8/1024</f>
        <v>0.25</v>
      </c>
      <c r="N8" s="41"/>
      <c r="O8" s="26"/>
    </row>
    <row r="9" spans="2:15">
      <c r="B9" s="5"/>
      <c r="C9" s="3"/>
      <c r="D9" s="52"/>
      <c r="E9" s="108"/>
      <c r="F9" s="15"/>
      <c r="G9" s="52"/>
      <c r="H9" s="52"/>
      <c r="I9" s="52"/>
      <c r="J9" s="52"/>
      <c r="K9" s="52"/>
      <c r="L9" s="110"/>
      <c r="N9" s="41"/>
      <c r="O9" s="23"/>
    </row>
    <row r="10" spans="2:15">
      <c r="B10" s="6">
        <v>2</v>
      </c>
      <c r="C10" s="11" t="s">
        <v>104</v>
      </c>
      <c r="D10" s="52"/>
      <c r="E10" s="108"/>
      <c r="F10" s="15"/>
      <c r="G10" s="52"/>
      <c r="H10" s="52"/>
      <c r="I10" s="52"/>
      <c r="J10" s="52"/>
      <c r="K10" s="52"/>
      <c r="L10" s="110"/>
      <c r="N10" s="41"/>
      <c r="O10" s="23"/>
    </row>
    <row r="11" spans="2:15">
      <c r="B11" s="5"/>
      <c r="C11" s="3" t="s">
        <v>129</v>
      </c>
      <c r="D11" s="52">
        <v>2</v>
      </c>
      <c r="E11" s="108" t="s">
        <v>102</v>
      </c>
      <c r="F11" s="15"/>
      <c r="G11" s="52">
        <v>4</v>
      </c>
      <c r="H11" s="52">
        <v>32</v>
      </c>
      <c r="I11" s="52">
        <v>256</v>
      </c>
      <c r="J11" s="52">
        <f t="shared" ref="J11" si="3">G11*D11</f>
        <v>8</v>
      </c>
      <c r="K11" s="52">
        <f t="shared" ref="K11" si="4">H11*D11</f>
        <v>64</v>
      </c>
      <c r="L11" s="110">
        <f t="shared" ref="L11:L12" si="5">I11*D11/1024</f>
        <v>0.5</v>
      </c>
      <c r="N11" s="41"/>
      <c r="O11" s="23"/>
    </row>
    <row r="12" spans="2:15">
      <c r="B12" s="5"/>
      <c r="C12" s="3" t="s">
        <v>106</v>
      </c>
      <c r="D12" s="52">
        <v>1</v>
      </c>
      <c r="E12" s="108"/>
      <c r="F12" s="15"/>
      <c r="G12" s="52"/>
      <c r="H12" s="52"/>
      <c r="I12" s="52">
        <f>I20+D8*512</f>
        <v>7612</v>
      </c>
      <c r="J12" s="52"/>
      <c r="K12" s="52"/>
      <c r="L12" s="110">
        <f t="shared" si="5"/>
        <v>7.43359375</v>
      </c>
      <c r="N12" s="41"/>
      <c r="O12" s="23"/>
    </row>
    <row r="13" spans="2:15">
      <c r="B13" s="5"/>
      <c r="D13" s="52"/>
      <c r="E13" s="108"/>
      <c r="F13" s="108"/>
      <c r="G13" s="52"/>
      <c r="H13" s="52"/>
      <c r="I13" s="52"/>
      <c r="J13" s="52"/>
      <c r="K13" s="52"/>
      <c r="L13" s="110"/>
      <c r="N13" s="41"/>
    </row>
    <row r="14" spans="2:15">
      <c r="B14" s="6">
        <v>3</v>
      </c>
      <c r="C14" s="22" t="s">
        <v>107</v>
      </c>
      <c r="D14" s="112"/>
      <c r="E14" s="112"/>
      <c r="F14" s="112"/>
      <c r="G14" s="112"/>
      <c r="H14" s="112"/>
      <c r="I14" s="112"/>
      <c r="J14" s="112"/>
      <c r="K14" s="112"/>
      <c r="L14" s="110"/>
      <c r="M14" s="2"/>
      <c r="N14" s="41"/>
    </row>
    <row r="15" spans="2:15">
      <c r="B15" s="5"/>
      <c r="C15" s="14" t="s">
        <v>108</v>
      </c>
      <c r="D15" s="52">
        <v>1</v>
      </c>
      <c r="E15" s="113" t="s">
        <v>98</v>
      </c>
      <c r="F15" s="15"/>
      <c r="G15" s="52">
        <v>4</v>
      </c>
      <c r="H15" s="52">
        <f>G15*16</f>
        <v>64</v>
      </c>
      <c r="I15" s="52">
        <v>300</v>
      </c>
      <c r="J15" s="52">
        <f>G15*D15</f>
        <v>4</v>
      </c>
      <c r="K15" s="52">
        <f>H15*D15</f>
        <v>64</v>
      </c>
      <c r="L15" s="110">
        <f>I15*D15/1024</f>
        <v>0.29296875</v>
      </c>
      <c r="M15" s="2"/>
      <c r="N15" s="41"/>
    </row>
    <row r="16" spans="2:15">
      <c r="B16" s="5"/>
      <c r="C16" s="28" t="s">
        <v>109</v>
      </c>
      <c r="D16" s="52">
        <v>1</v>
      </c>
      <c r="E16" s="113" t="s">
        <v>98</v>
      </c>
      <c r="F16" s="15"/>
      <c r="G16" s="52"/>
      <c r="H16" s="52"/>
      <c r="I16" s="52"/>
      <c r="J16" s="52"/>
      <c r="K16" s="52"/>
      <c r="L16" s="110"/>
      <c r="M16" s="2"/>
      <c r="N16" s="41"/>
    </row>
    <row r="17" spans="2:14">
      <c r="B17" s="5"/>
      <c r="C17" s="28" t="s">
        <v>110</v>
      </c>
      <c r="D17" s="52">
        <v>1</v>
      </c>
      <c r="E17" s="114" t="s">
        <v>132</v>
      </c>
      <c r="F17" s="114"/>
      <c r="G17" s="115"/>
      <c r="H17" s="52"/>
      <c r="I17" s="111">
        <f>'PROD-1Yr'!I17</f>
        <v>14000</v>
      </c>
      <c r="J17" s="115"/>
      <c r="K17" s="52"/>
      <c r="L17" s="110">
        <f>I17*D17/1024</f>
        <v>13.671875</v>
      </c>
      <c r="M17" s="2"/>
      <c r="N17" s="41"/>
    </row>
    <row r="18" spans="2:14">
      <c r="B18" s="5"/>
      <c r="C18" s="3"/>
      <c r="D18" s="52"/>
      <c r="E18" s="114"/>
      <c r="F18" s="114"/>
      <c r="G18" s="115"/>
      <c r="H18" s="52"/>
      <c r="I18" s="52"/>
      <c r="J18" s="115"/>
      <c r="K18" s="52"/>
      <c r="L18" s="110"/>
      <c r="M18" s="2"/>
      <c r="N18" s="41"/>
    </row>
    <row r="19" spans="2:14">
      <c r="B19" s="6">
        <v>4</v>
      </c>
      <c r="C19" s="8" t="s">
        <v>115</v>
      </c>
      <c r="D19" s="112"/>
      <c r="E19" s="112"/>
      <c r="F19" s="112"/>
      <c r="G19" s="112"/>
      <c r="H19" s="112"/>
      <c r="I19" s="112"/>
      <c r="J19" s="112"/>
      <c r="K19" s="112"/>
      <c r="L19" s="110"/>
      <c r="M19" s="2"/>
      <c r="N19" s="41"/>
    </row>
    <row r="20" spans="2:14" ht="72">
      <c r="B20" s="5"/>
      <c r="C20" s="29" t="s">
        <v>61</v>
      </c>
      <c r="D20" s="116">
        <v>1</v>
      </c>
      <c r="E20" s="117" t="s">
        <v>116</v>
      </c>
      <c r="F20" s="20" t="s">
        <v>117</v>
      </c>
      <c r="G20" s="52"/>
      <c r="H20" s="52"/>
      <c r="I20" s="111">
        <f>'PROD-1Yr'!I26</f>
        <v>7100</v>
      </c>
      <c r="J20" s="52"/>
      <c r="K20" s="52"/>
      <c r="L20" s="110">
        <f>I20/1024</f>
        <v>6.93359375</v>
      </c>
      <c r="M20" s="2"/>
      <c r="N20" s="41"/>
    </row>
    <row r="21" spans="2:14">
      <c r="B21" s="5"/>
      <c r="C21" s="1"/>
      <c r="D21" s="52"/>
      <c r="E21" s="113"/>
      <c r="F21" s="113"/>
      <c r="G21" s="52"/>
      <c r="H21" s="52"/>
      <c r="I21" s="52"/>
      <c r="J21" s="52"/>
      <c r="K21" s="52"/>
      <c r="L21" s="110"/>
      <c r="M21" s="2"/>
      <c r="N21" s="41"/>
    </row>
    <row r="22" spans="2:14">
      <c r="B22" s="6">
        <v>5</v>
      </c>
      <c r="C22" s="8" t="s">
        <v>118</v>
      </c>
      <c r="D22" s="112"/>
      <c r="E22" s="112"/>
      <c r="F22" s="112"/>
      <c r="G22" s="112"/>
      <c r="H22" s="112"/>
      <c r="I22" s="112"/>
      <c r="J22" s="112"/>
      <c r="K22" s="112"/>
      <c r="L22" s="110"/>
      <c r="M22" s="2"/>
      <c r="N22" s="41"/>
    </row>
    <row r="23" spans="2:14">
      <c r="B23" s="5"/>
      <c r="C23" s="18" t="s">
        <v>119</v>
      </c>
      <c r="D23" s="52">
        <v>1</v>
      </c>
      <c r="E23" s="108" t="s">
        <v>120</v>
      </c>
      <c r="F23" s="108"/>
      <c r="G23" s="52"/>
      <c r="H23" s="52"/>
      <c r="I23" s="52"/>
      <c r="J23" s="52"/>
      <c r="K23" s="52"/>
      <c r="L23" s="110"/>
      <c r="N23" s="41"/>
    </row>
    <row r="24" spans="2:14">
      <c r="B24" s="5"/>
      <c r="C24" s="18" t="s">
        <v>50</v>
      </c>
      <c r="D24" s="52">
        <v>1</v>
      </c>
      <c r="E24" s="46" t="s">
        <v>121</v>
      </c>
      <c r="F24" s="108"/>
      <c r="G24" s="52"/>
      <c r="H24" s="52"/>
      <c r="I24" s="52">
        <v>1024</v>
      </c>
      <c r="J24" s="52"/>
      <c r="K24" s="52"/>
      <c r="L24" s="110">
        <f>I24/1024</f>
        <v>1</v>
      </c>
      <c r="N24" s="41"/>
    </row>
    <row r="25" spans="2:14">
      <c r="B25" s="5"/>
      <c r="C25" s="18" t="s">
        <v>122</v>
      </c>
      <c r="D25" s="52">
        <v>1</v>
      </c>
      <c r="E25" s="108"/>
      <c r="F25" s="108"/>
      <c r="G25" s="52"/>
      <c r="H25" s="52"/>
      <c r="I25" s="52"/>
      <c r="J25" s="52"/>
      <c r="K25" s="52"/>
      <c r="L25" s="110"/>
      <c r="N25" s="41" t="s">
        <v>123</v>
      </c>
    </row>
    <row r="26" spans="2:14">
      <c r="B26" s="5"/>
      <c r="C26" s="18" t="s">
        <v>100</v>
      </c>
      <c r="D26" s="52">
        <v>1</v>
      </c>
      <c r="E26" s="108"/>
      <c r="F26" s="108"/>
      <c r="G26" s="52">
        <v>2</v>
      </c>
      <c r="H26" s="52">
        <v>8</v>
      </c>
      <c r="I26" s="52">
        <v>256</v>
      </c>
      <c r="J26" s="52">
        <v>4</v>
      </c>
      <c r="K26" s="52">
        <v>8</v>
      </c>
      <c r="L26" s="110">
        <f>I26/1024</f>
        <v>0.25</v>
      </c>
      <c r="N26" s="41" t="s">
        <v>124</v>
      </c>
    </row>
    <row r="27" spans="2:14">
      <c r="B27" s="5"/>
      <c r="C27" s="18" t="s">
        <v>125</v>
      </c>
      <c r="D27" s="52">
        <v>1</v>
      </c>
      <c r="E27" s="46" t="s">
        <v>126</v>
      </c>
      <c r="F27" s="108"/>
      <c r="G27" s="52"/>
      <c r="H27" s="52"/>
      <c r="I27" s="52"/>
      <c r="J27" s="52"/>
      <c r="K27" s="52"/>
      <c r="L27" s="110"/>
      <c r="M27" s="118"/>
      <c r="N27" s="41"/>
    </row>
    <row r="28" spans="2:14">
      <c r="B28" s="5"/>
    </row>
    <row r="30" spans="2:14">
      <c r="C30" s="23"/>
    </row>
    <row r="31" spans="2:14">
      <c r="C31" s="23"/>
      <c r="G31" s="4"/>
      <c r="H31" s="4"/>
      <c r="I31" s="4"/>
      <c r="J31" s="4"/>
      <c r="K31" s="4"/>
      <c r="L31" s="4"/>
      <c r="M31" s="4"/>
      <c r="N31" s="4"/>
    </row>
    <row r="32" spans="2:14">
      <c r="C32" s="24"/>
      <c r="G32" s="4"/>
      <c r="H32" s="4"/>
      <c r="I32" s="4"/>
      <c r="J32" s="4"/>
      <c r="K32" s="4"/>
      <c r="L32" s="4"/>
      <c r="M32" s="4"/>
      <c r="N32" s="4"/>
    </row>
    <row r="33" spans="3:14" ht="17.45">
      <c r="C33" s="25"/>
      <c r="G33" s="4"/>
      <c r="H33" s="4"/>
      <c r="I33" s="4"/>
      <c r="J33" s="4"/>
      <c r="K33" s="4"/>
      <c r="L33" s="4"/>
      <c r="M33" s="4"/>
      <c r="N33" s="4"/>
    </row>
    <row r="34" spans="3:14">
      <c r="G34" s="4"/>
      <c r="H34" s="4"/>
      <c r="I34" s="4"/>
      <c r="J34" s="4"/>
      <c r="K34" s="4"/>
      <c r="L34" s="4"/>
      <c r="M34" s="4"/>
      <c r="N34" s="4"/>
    </row>
    <row r="35" spans="3:14">
      <c r="C35" s="26"/>
      <c r="G35" s="4"/>
      <c r="H35" s="4"/>
      <c r="I35" s="4"/>
      <c r="J35" s="4"/>
      <c r="K35" s="4"/>
      <c r="L35" s="4"/>
      <c r="M35" s="4"/>
      <c r="N35" s="4"/>
    </row>
    <row r="36" spans="3:14">
      <c r="C36" s="23"/>
      <c r="G36" s="4"/>
      <c r="H36" s="4"/>
      <c r="I36" s="4"/>
      <c r="J36" s="4"/>
      <c r="K36" s="4"/>
      <c r="L36" s="4"/>
      <c r="M36" s="4"/>
      <c r="N36" s="4"/>
    </row>
    <row r="37" spans="3:14">
      <c r="C37" s="23"/>
      <c r="G37" s="4"/>
      <c r="H37" s="4"/>
      <c r="I37" s="4"/>
      <c r="J37" s="4"/>
      <c r="K37" s="4"/>
      <c r="L37" s="4"/>
      <c r="M37" s="4"/>
      <c r="N37" s="4"/>
    </row>
    <row r="38" spans="3:14">
      <c r="C38" s="23"/>
      <c r="G38" s="4"/>
      <c r="H38" s="4"/>
      <c r="I38" s="4"/>
      <c r="J38" s="4"/>
      <c r="K38" s="4"/>
      <c r="L38" s="4"/>
      <c r="M38" s="4"/>
      <c r="N38" s="4"/>
    </row>
    <row r="39" spans="3:14">
      <c r="C39" s="23"/>
      <c r="G39" s="4"/>
      <c r="H39" s="4"/>
      <c r="I39" s="4"/>
      <c r="J39" s="4"/>
      <c r="K39" s="4"/>
      <c r="L39" s="4"/>
      <c r="M39" s="4"/>
      <c r="N39" s="4"/>
    </row>
    <row r="40" spans="3:14">
      <c r="C40" s="27"/>
      <c r="G40" s="4"/>
      <c r="H40" s="4"/>
      <c r="I40" s="4"/>
      <c r="J40" s="4"/>
      <c r="K40" s="4"/>
      <c r="L40" s="4"/>
      <c r="M40" s="4"/>
      <c r="N40" s="4"/>
    </row>
    <row r="41" spans="3:14">
      <c r="G41" s="4"/>
      <c r="H41" s="4"/>
      <c r="I41" s="4"/>
      <c r="J41" s="4"/>
      <c r="K41" s="4"/>
      <c r="L41" s="4"/>
      <c r="M41" s="4"/>
      <c r="N41" s="4"/>
    </row>
    <row r="42" spans="3:14">
      <c r="G42" s="4"/>
      <c r="H42" s="4"/>
      <c r="I42" s="4"/>
      <c r="J42" s="4"/>
      <c r="K42" s="4"/>
      <c r="L42" s="4"/>
      <c r="M42" s="4"/>
      <c r="N42" s="4"/>
    </row>
  </sheetData>
  <mergeCells count="2">
    <mergeCell ref="N5:N7"/>
    <mergeCell ref="B2:N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139FF-1818-40EE-9921-6BC2703EABD3}">
  <sheetPr codeName="Sheet10"/>
  <dimension ref="B1:O42"/>
  <sheetViews>
    <sheetView showGridLines="0" topLeftCell="A3" zoomScale="70" zoomScaleNormal="70" workbookViewId="0">
      <selection activeCell="I20" sqref="I20"/>
    </sheetView>
  </sheetViews>
  <sheetFormatPr defaultColWidth="8.85546875" defaultRowHeight="14.45"/>
  <cols>
    <col min="2" max="2" width="7.42578125" customWidth="1"/>
    <col min="3" max="3" width="76" customWidth="1"/>
    <col min="4" max="4" width="14.28515625" style="5" customWidth="1"/>
    <col min="5" max="5" width="23.28515625" style="4" customWidth="1"/>
    <col min="6" max="6" width="25.140625" style="4" customWidth="1"/>
    <col min="7" max="8" width="9.28515625" style="5" bestFit="1" customWidth="1"/>
    <col min="9" max="9" width="11.42578125" style="5" customWidth="1"/>
    <col min="10" max="10" width="8.42578125" style="5" bestFit="1" customWidth="1"/>
    <col min="11" max="11" width="8.42578125" style="5" customWidth="1"/>
    <col min="12" max="12" width="11.42578125" style="5" customWidth="1"/>
    <col min="13" max="13" width="2.140625" hidden="1" customWidth="1"/>
    <col min="14" max="14" width="38.42578125" customWidth="1"/>
  </cols>
  <sheetData>
    <row r="1" spans="2:15" ht="18">
      <c r="D1" s="7"/>
      <c r="E1" s="7"/>
      <c r="F1" s="7"/>
      <c r="G1" s="7"/>
      <c r="H1" s="7"/>
      <c r="I1" s="7"/>
      <c r="J1" s="7"/>
      <c r="K1" s="7"/>
      <c r="L1" s="7"/>
    </row>
    <row r="2" spans="2:15" ht="30" customHeight="1">
      <c r="B2" s="121" t="s">
        <v>133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3" spans="2:15" s="4" customFormat="1" ht="69.75" customHeight="1">
      <c r="B3" s="43" t="s">
        <v>85</v>
      </c>
      <c r="C3" s="43" t="s">
        <v>86</v>
      </c>
      <c r="D3" s="43" t="s">
        <v>87</v>
      </c>
      <c r="E3" s="43" t="s">
        <v>88</v>
      </c>
      <c r="F3" s="43" t="s">
        <v>89</v>
      </c>
      <c r="G3" s="43" t="s">
        <v>90</v>
      </c>
      <c r="H3" s="43" t="s">
        <v>91</v>
      </c>
      <c r="I3" s="43" t="s">
        <v>92</v>
      </c>
      <c r="J3" s="43" t="s">
        <v>93</v>
      </c>
      <c r="K3" s="43" t="s">
        <v>94</v>
      </c>
      <c r="L3" s="43" t="s">
        <v>95</v>
      </c>
      <c r="M3" s="44"/>
      <c r="N3" s="43" t="s">
        <v>89</v>
      </c>
      <c r="O3" s="37"/>
    </row>
    <row r="4" spans="2:15">
      <c r="B4" s="12">
        <v>1</v>
      </c>
      <c r="C4" s="11" t="s">
        <v>96</v>
      </c>
      <c r="D4" s="106"/>
      <c r="E4" s="107"/>
      <c r="F4" s="107"/>
      <c r="G4" s="106"/>
      <c r="H4" s="106"/>
      <c r="I4" s="106"/>
      <c r="J4" s="106"/>
      <c r="K4" s="106"/>
      <c r="L4" s="106"/>
      <c r="N4" s="41"/>
    </row>
    <row r="5" spans="2:15">
      <c r="B5" s="9"/>
      <c r="C5" s="10" t="s">
        <v>97</v>
      </c>
      <c r="D5" s="52">
        <v>1</v>
      </c>
      <c r="E5" s="108" t="s">
        <v>98</v>
      </c>
      <c r="F5" s="109"/>
      <c r="G5" s="52">
        <v>2</v>
      </c>
      <c r="H5" s="52">
        <v>16</v>
      </c>
      <c r="I5" s="52">
        <v>256</v>
      </c>
      <c r="J5" s="52">
        <f t="shared" ref="J5:J8" si="0">G5*D5</f>
        <v>2</v>
      </c>
      <c r="K5" s="52">
        <f t="shared" ref="K5:K8" si="1">H5*D5</f>
        <v>16</v>
      </c>
      <c r="L5" s="110">
        <f t="shared" ref="L5:L7" si="2">I5*D5/1024</f>
        <v>0.25</v>
      </c>
      <c r="N5" s="131" t="s">
        <v>99</v>
      </c>
    </row>
    <row r="6" spans="2:15">
      <c r="B6" s="9"/>
      <c r="C6" s="10" t="s">
        <v>100</v>
      </c>
      <c r="D6" s="52">
        <v>1</v>
      </c>
      <c r="E6" s="108" t="s">
        <v>98</v>
      </c>
      <c r="F6" s="21"/>
      <c r="G6" s="52">
        <v>2</v>
      </c>
      <c r="H6" s="52">
        <v>16</v>
      </c>
      <c r="I6" s="52">
        <v>256</v>
      </c>
      <c r="J6" s="52">
        <f t="shared" si="0"/>
        <v>2</v>
      </c>
      <c r="K6" s="52">
        <f t="shared" si="1"/>
        <v>16</v>
      </c>
      <c r="L6" s="110">
        <f t="shared" si="2"/>
        <v>0.25</v>
      </c>
      <c r="N6" s="131"/>
    </row>
    <row r="7" spans="2:15">
      <c r="B7" s="9"/>
      <c r="C7" s="10" t="s">
        <v>101</v>
      </c>
      <c r="D7" s="52">
        <v>3</v>
      </c>
      <c r="E7" s="108" t="s">
        <v>102</v>
      </c>
      <c r="F7" s="21"/>
      <c r="G7" s="52">
        <v>4</v>
      </c>
      <c r="H7" s="52">
        <v>16</v>
      </c>
      <c r="I7" s="52">
        <v>256</v>
      </c>
      <c r="J7" s="52">
        <f t="shared" si="0"/>
        <v>12</v>
      </c>
      <c r="K7" s="52">
        <f t="shared" si="1"/>
        <v>48</v>
      </c>
      <c r="L7" s="110">
        <f t="shared" si="2"/>
        <v>0.75</v>
      </c>
      <c r="N7" s="131"/>
    </row>
    <row r="8" spans="2:15">
      <c r="B8" s="5"/>
      <c r="C8" s="28" t="s">
        <v>103</v>
      </c>
      <c r="D8" s="52">
        <v>1</v>
      </c>
      <c r="E8" s="108" t="s">
        <v>102</v>
      </c>
      <c r="F8" s="15"/>
      <c r="G8" s="52">
        <v>8</v>
      </c>
      <c r="H8" s="52">
        <v>32</v>
      </c>
      <c r="I8" s="52">
        <v>256</v>
      </c>
      <c r="J8" s="52">
        <f t="shared" si="0"/>
        <v>8</v>
      </c>
      <c r="K8" s="52">
        <f t="shared" si="1"/>
        <v>32</v>
      </c>
      <c r="L8" s="110">
        <f>I8*D8/1024</f>
        <v>0.25</v>
      </c>
      <c r="N8" s="41"/>
      <c r="O8" s="26"/>
    </row>
    <row r="9" spans="2:15">
      <c r="B9" s="5"/>
      <c r="C9" s="3"/>
      <c r="D9" s="52"/>
      <c r="E9" s="108"/>
      <c r="F9" s="15"/>
      <c r="G9" s="52"/>
      <c r="H9" s="52"/>
      <c r="I9" s="52"/>
      <c r="J9" s="52"/>
      <c r="K9" s="52"/>
      <c r="L9" s="110"/>
      <c r="N9" s="41"/>
      <c r="O9" s="23"/>
    </row>
    <row r="10" spans="2:15">
      <c r="B10" s="6">
        <v>2</v>
      </c>
      <c r="C10" s="11" t="s">
        <v>104</v>
      </c>
      <c r="D10" s="52"/>
      <c r="E10" s="108"/>
      <c r="F10" s="15"/>
      <c r="G10" s="52"/>
      <c r="H10" s="52"/>
      <c r="I10" s="52"/>
      <c r="J10" s="52"/>
      <c r="K10" s="52"/>
      <c r="L10" s="110"/>
      <c r="N10" s="41"/>
      <c r="O10" s="23"/>
    </row>
    <row r="11" spans="2:15">
      <c r="B11" s="5"/>
      <c r="C11" s="3" t="s">
        <v>129</v>
      </c>
      <c r="D11" s="52">
        <v>2</v>
      </c>
      <c r="E11" s="108" t="s">
        <v>102</v>
      </c>
      <c r="F11" s="15"/>
      <c r="G11" s="52">
        <v>4</v>
      </c>
      <c r="H11" s="52">
        <v>32</v>
      </c>
      <c r="I11" s="52">
        <v>256</v>
      </c>
      <c r="J11" s="52">
        <f t="shared" ref="J11" si="3">G11*D11</f>
        <v>8</v>
      </c>
      <c r="K11" s="52">
        <f t="shared" ref="K11" si="4">H11*D11</f>
        <v>64</v>
      </c>
      <c r="L11" s="110">
        <f t="shared" ref="L11:L12" si="5">I11*D11/1024</f>
        <v>0.5</v>
      </c>
      <c r="N11" s="41"/>
      <c r="O11" s="23"/>
    </row>
    <row r="12" spans="2:15">
      <c r="B12" s="5"/>
      <c r="C12" s="3" t="s">
        <v>106</v>
      </c>
      <c r="D12" s="52">
        <v>1</v>
      </c>
      <c r="E12" s="108"/>
      <c r="F12" s="15"/>
      <c r="G12" s="52"/>
      <c r="H12" s="52"/>
      <c r="I12" s="52">
        <f>I20+D8*512</f>
        <v>1012</v>
      </c>
      <c r="J12" s="52"/>
      <c r="K12" s="52"/>
      <c r="L12" s="110">
        <f t="shared" si="5"/>
        <v>0.98828125</v>
      </c>
      <c r="N12" s="41"/>
      <c r="O12" s="23"/>
    </row>
    <row r="13" spans="2:15">
      <c r="B13" s="5"/>
      <c r="D13" s="52"/>
      <c r="E13" s="108"/>
      <c r="F13" s="108"/>
      <c r="G13" s="52"/>
      <c r="H13" s="52"/>
      <c r="I13" s="52"/>
      <c r="J13" s="52"/>
      <c r="K13" s="52"/>
      <c r="L13" s="110"/>
      <c r="N13" s="41"/>
    </row>
    <row r="14" spans="2:15">
      <c r="B14" s="6">
        <v>3</v>
      </c>
      <c r="C14" s="22" t="s">
        <v>107</v>
      </c>
      <c r="D14" s="112"/>
      <c r="E14" s="112"/>
      <c r="F14" s="112"/>
      <c r="G14" s="112"/>
      <c r="H14" s="112"/>
      <c r="I14" s="112"/>
      <c r="J14" s="112"/>
      <c r="K14" s="112"/>
      <c r="L14" s="110"/>
      <c r="M14" s="2"/>
      <c r="N14" s="41"/>
    </row>
    <row r="15" spans="2:15">
      <c r="B15" s="5"/>
      <c r="C15" s="14" t="s">
        <v>108</v>
      </c>
      <c r="D15" s="52">
        <v>1</v>
      </c>
      <c r="E15" s="113" t="s">
        <v>98</v>
      </c>
      <c r="F15" s="15"/>
      <c r="G15" s="52">
        <v>4</v>
      </c>
      <c r="H15" s="52">
        <f>G15*16</f>
        <v>64</v>
      </c>
      <c r="I15" s="52">
        <v>300</v>
      </c>
      <c r="J15" s="52">
        <f>G15*D15</f>
        <v>4</v>
      </c>
      <c r="K15" s="52">
        <f>H15*D15</f>
        <v>64</v>
      </c>
      <c r="L15" s="110">
        <f>I15*D15/1024</f>
        <v>0.29296875</v>
      </c>
      <c r="M15" s="2"/>
      <c r="N15" s="41"/>
    </row>
    <row r="16" spans="2:15">
      <c r="B16" s="5"/>
      <c r="C16" s="28" t="s">
        <v>109</v>
      </c>
      <c r="D16" s="52">
        <v>1</v>
      </c>
      <c r="E16" s="113" t="s">
        <v>98</v>
      </c>
      <c r="F16" s="15"/>
      <c r="G16" s="52"/>
      <c r="H16" s="52"/>
      <c r="I16" s="52"/>
      <c r="J16" s="52"/>
      <c r="K16" s="52"/>
      <c r="L16" s="110"/>
      <c r="M16" s="2"/>
      <c r="N16" s="41"/>
    </row>
    <row r="17" spans="2:14">
      <c r="B17" s="5"/>
      <c r="C17" s="28" t="s">
        <v>110</v>
      </c>
      <c r="D17" s="52">
        <v>1</v>
      </c>
      <c r="E17" s="114" t="s">
        <v>132</v>
      </c>
      <c r="F17" s="114"/>
      <c r="G17" s="115"/>
      <c r="H17" s="52"/>
      <c r="I17" s="52">
        <v>500</v>
      </c>
      <c r="J17" s="115"/>
      <c r="K17" s="52"/>
      <c r="L17" s="110">
        <f>I17*D17/1024</f>
        <v>0.48828125</v>
      </c>
      <c r="M17" s="2"/>
      <c r="N17" s="41"/>
    </row>
    <row r="18" spans="2:14">
      <c r="B18" s="5"/>
      <c r="C18" s="3"/>
      <c r="D18" s="52"/>
      <c r="E18" s="114"/>
      <c r="F18" s="114"/>
      <c r="G18" s="115"/>
      <c r="H18" s="52"/>
      <c r="I18" s="52"/>
      <c r="J18" s="115"/>
      <c r="K18" s="52"/>
      <c r="L18" s="110"/>
      <c r="M18" s="2"/>
      <c r="N18" s="41"/>
    </row>
    <row r="19" spans="2:14">
      <c r="B19" s="6">
        <v>4</v>
      </c>
      <c r="C19" s="8" t="s">
        <v>115</v>
      </c>
      <c r="D19" s="112"/>
      <c r="E19" s="112"/>
      <c r="F19" s="112"/>
      <c r="G19" s="112"/>
      <c r="H19" s="112"/>
      <c r="I19" s="112"/>
      <c r="J19" s="112"/>
      <c r="K19" s="112"/>
      <c r="L19" s="110"/>
      <c r="M19" s="2"/>
      <c r="N19" s="41"/>
    </row>
    <row r="20" spans="2:14" ht="72">
      <c r="B20" s="5"/>
      <c r="C20" s="29" t="s">
        <v>61</v>
      </c>
      <c r="D20" s="116">
        <v>1</v>
      </c>
      <c r="E20" s="117" t="s">
        <v>116</v>
      </c>
      <c r="F20" s="20" t="s">
        <v>117</v>
      </c>
      <c r="G20" s="52"/>
      <c r="H20" s="52"/>
      <c r="I20" s="52">
        <v>500</v>
      </c>
      <c r="J20" s="52"/>
      <c r="K20" s="52"/>
      <c r="L20" s="110">
        <f>I20/1024</f>
        <v>0.48828125</v>
      </c>
      <c r="M20" s="2"/>
      <c r="N20" s="41"/>
    </row>
    <row r="21" spans="2:14">
      <c r="B21" s="5"/>
      <c r="C21" s="1"/>
      <c r="D21" s="52"/>
      <c r="E21" s="113"/>
      <c r="F21" s="113"/>
      <c r="G21" s="52"/>
      <c r="H21" s="52"/>
      <c r="I21" s="52"/>
      <c r="J21" s="52"/>
      <c r="K21" s="52"/>
      <c r="L21" s="110"/>
      <c r="M21" s="2"/>
      <c r="N21" s="41"/>
    </row>
    <row r="22" spans="2:14">
      <c r="B22" s="6">
        <v>5</v>
      </c>
      <c r="C22" s="8" t="s">
        <v>118</v>
      </c>
      <c r="D22" s="112"/>
      <c r="E22" s="112"/>
      <c r="F22" s="112"/>
      <c r="G22" s="112"/>
      <c r="H22" s="112"/>
      <c r="I22" s="112"/>
      <c r="J22" s="112"/>
      <c r="K22" s="112"/>
      <c r="L22" s="110"/>
      <c r="M22" s="2"/>
      <c r="N22" s="41"/>
    </row>
    <row r="23" spans="2:14">
      <c r="B23" s="5"/>
      <c r="C23" s="18" t="s">
        <v>119</v>
      </c>
      <c r="D23" s="52">
        <v>1</v>
      </c>
      <c r="E23" s="108" t="s">
        <v>120</v>
      </c>
      <c r="F23" s="108"/>
      <c r="G23" s="52"/>
      <c r="H23" s="52"/>
      <c r="I23" s="52"/>
      <c r="J23" s="52"/>
      <c r="K23" s="52"/>
      <c r="L23" s="110"/>
      <c r="N23" s="41"/>
    </row>
    <row r="24" spans="2:14">
      <c r="B24" s="5"/>
      <c r="C24" s="18" t="s">
        <v>50</v>
      </c>
      <c r="D24" s="52">
        <v>1</v>
      </c>
      <c r="E24" s="46" t="s">
        <v>121</v>
      </c>
      <c r="F24" s="108"/>
      <c r="G24" s="52"/>
      <c r="H24" s="52"/>
      <c r="I24" s="52">
        <v>1024</v>
      </c>
      <c r="J24" s="52"/>
      <c r="K24" s="52"/>
      <c r="L24" s="110">
        <f>I24/1024</f>
        <v>1</v>
      </c>
      <c r="N24" s="41"/>
    </row>
    <row r="25" spans="2:14">
      <c r="B25" s="5"/>
      <c r="C25" s="18" t="s">
        <v>122</v>
      </c>
      <c r="D25" s="52">
        <v>1</v>
      </c>
      <c r="E25" s="108"/>
      <c r="F25" s="108"/>
      <c r="G25" s="52"/>
      <c r="H25" s="52"/>
      <c r="I25" s="52"/>
      <c r="J25" s="52"/>
      <c r="K25" s="52"/>
      <c r="L25" s="110"/>
      <c r="N25" s="41" t="s">
        <v>123</v>
      </c>
    </row>
    <row r="26" spans="2:14">
      <c r="B26" s="5"/>
      <c r="C26" s="18" t="s">
        <v>100</v>
      </c>
      <c r="D26" s="52">
        <v>1</v>
      </c>
      <c r="E26" s="108"/>
      <c r="F26" s="108"/>
      <c r="G26" s="52">
        <v>2</v>
      </c>
      <c r="H26" s="52">
        <v>8</v>
      </c>
      <c r="I26" s="52">
        <v>256</v>
      </c>
      <c r="J26" s="52">
        <v>4</v>
      </c>
      <c r="K26" s="52">
        <v>8</v>
      </c>
      <c r="L26" s="110">
        <f>I26/1024</f>
        <v>0.25</v>
      </c>
      <c r="N26" s="41" t="s">
        <v>124</v>
      </c>
    </row>
    <row r="27" spans="2:14">
      <c r="B27" s="5"/>
      <c r="C27" s="18" t="s">
        <v>125</v>
      </c>
      <c r="D27" s="52">
        <v>1</v>
      </c>
      <c r="E27" s="46" t="s">
        <v>126</v>
      </c>
      <c r="F27" s="108"/>
      <c r="G27" s="52"/>
      <c r="H27" s="52"/>
      <c r="I27" s="52"/>
      <c r="J27" s="52"/>
      <c r="K27" s="52"/>
      <c r="L27" s="110"/>
      <c r="M27" s="118"/>
      <c r="N27" s="41"/>
    </row>
    <row r="28" spans="2:14">
      <c r="B28" s="5"/>
    </row>
    <row r="30" spans="2:14">
      <c r="C30" s="23"/>
    </row>
    <row r="31" spans="2:14">
      <c r="C31" s="23"/>
      <c r="G31" s="4"/>
      <c r="H31" s="4"/>
      <c r="I31" s="4"/>
      <c r="J31" s="4"/>
      <c r="K31" s="4"/>
      <c r="L31" s="4"/>
      <c r="M31" s="4"/>
      <c r="N31" s="4"/>
    </row>
    <row r="32" spans="2:14">
      <c r="C32" s="24"/>
      <c r="G32" s="4"/>
      <c r="H32" s="4"/>
      <c r="I32" s="4"/>
      <c r="J32" s="4"/>
      <c r="K32" s="4"/>
      <c r="L32" s="4"/>
      <c r="M32" s="4"/>
      <c r="N32" s="4"/>
    </row>
    <row r="33" spans="3:14" ht="17.45">
      <c r="C33" s="25"/>
      <c r="G33" s="4"/>
      <c r="H33" s="4"/>
      <c r="I33" s="4"/>
      <c r="J33" s="4"/>
      <c r="K33" s="4"/>
      <c r="L33" s="4"/>
      <c r="M33" s="4"/>
      <c r="N33" s="4"/>
    </row>
    <row r="34" spans="3:14">
      <c r="G34" s="4"/>
      <c r="H34" s="4"/>
      <c r="I34" s="4"/>
      <c r="J34" s="4"/>
      <c r="K34" s="4"/>
      <c r="L34" s="4"/>
      <c r="M34" s="4"/>
      <c r="N34" s="4"/>
    </row>
    <row r="35" spans="3:14">
      <c r="C35" s="26"/>
      <c r="G35" s="4"/>
      <c r="H35" s="4"/>
      <c r="I35" s="4"/>
      <c r="J35" s="4"/>
      <c r="K35" s="4"/>
      <c r="L35" s="4"/>
      <c r="M35" s="4"/>
      <c r="N35" s="4"/>
    </row>
    <row r="36" spans="3:14">
      <c r="C36" s="23"/>
      <c r="G36" s="4"/>
      <c r="H36" s="4"/>
      <c r="I36" s="4"/>
      <c r="J36" s="4"/>
      <c r="K36" s="4"/>
      <c r="L36" s="4"/>
      <c r="M36" s="4"/>
      <c r="N36" s="4"/>
    </row>
    <row r="37" spans="3:14">
      <c r="C37" s="23"/>
      <c r="G37" s="4"/>
      <c r="H37" s="4"/>
      <c r="I37" s="4"/>
      <c r="J37" s="4"/>
      <c r="K37" s="4"/>
      <c r="L37" s="4"/>
      <c r="M37" s="4"/>
      <c r="N37" s="4"/>
    </row>
    <row r="38" spans="3:14">
      <c r="C38" s="23"/>
      <c r="G38" s="4"/>
      <c r="H38" s="4"/>
      <c r="I38" s="4"/>
      <c r="J38" s="4"/>
      <c r="K38" s="4"/>
      <c r="L38" s="4"/>
      <c r="M38" s="4"/>
      <c r="N38" s="4"/>
    </row>
    <row r="39" spans="3:14">
      <c r="C39" s="23"/>
      <c r="G39" s="4"/>
      <c r="H39" s="4"/>
      <c r="I39" s="4"/>
      <c r="J39" s="4"/>
      <c r="K39" s="4"/>
      <c r="L39" s="4"/>
      <c r="M39" s="4"/>
      <c r="N39" s="4"/>
    </row>
    <row r="40" spans="3:14">
      <c r="C40" s="27"/>
      <c r="G40" s="4"/>
      <c r="H40" s="4"/>
      <c r="I40" s="4"/>
      <c r="J40" s="4"/>
      <c r="K40" s="4"/>
      <c r="L40" s="4"/>
      <c r="M40" s="4"/>
      <c r="N40" s="4"/>
    </row>
    <row r="41" spans="3:14">
      <c r="G41" s="4"/>
      <c r="H41" s="4"/>
      <c r="I41" s="4"/>
      <c r="J41" s="4"/>
      <c r="K41" s="4"/>
      <c r="L41" s="4"/>
      <c r="M41" s="4"/>
      <c r="N41" s="4"/>
    </row>
    <row r="42" spans="3:14">
      <c r="G42" s="4"/>
      <c r="H42" s="4"/>
      <c r="I42" s="4"/>
      <c r="J42" s="4"/>
      <c r="K42" s="4"/>
      <c r="L42" s="4"/>
      <c r="M42" s="4"/>
      <c r="N42" s="4"/>
    </row>
  </sheetData>
  <mergeCells count="2">
    <mergeCell ref="N5:N7"/>
    <mergeCell ref="B2:N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8E1B3-62E8-4911-AE87-7F1A397B91E9}">
  <sheetPr codeName="Sheet11"/>
  <dimension ref="B1:O43"/>
  <sheetViews>
    <sheetView showGridLines="0" zoomScale="70" zoomScaleNormal="70" workbookViewId="0">
      <selection activeCell="A12" sqref="A12:XFD12"/>
    </sheetView>
  </sheetViews>
  <sheetFormatPr defaultColWidth="8.85546875" defaultRowHeight="14.45"/>
  <cols>
    <col min="2" max="2" width="7.42578125" customWidth="1"/>
    <col min="3" max="3" width="76" customWidth="1"/>
    <col min="4" max="4" width="14.28515625" style="5" customWidth="1"/>
    <col min="5" max="5" width="23.28515625" style="4" customWidth="1"/>
    <col min="6" max="6" width="25.140625" style="4" customWidth="1"/>
    <col min="7" max="8" width="9.28515625" style="5" bestFit="1" customWidth="1"/>
    <col min="9" max="9" width="11.42578125" style="5" customWidth="1"/>
    <col min="10" max="10" width="8.42578125" style="5" bestFit="1" customWidth="1"/>
    <col min="11" max="11" width="8.42578125" style="5" customWidth="1"/>
    <col min="12" max="12" width="11.42578125" style="5" customWidth="1"/>
    <col min="13" max="13" width="2.140625" hidden="1" customWidth="1"/>
    <col min="14" max="14" width="38.42578125" customWidth="1"/>
  </cols>
  <sheetData>
    <row r="1" spans="2:15" ht="18">
      <c r="D1" s="7"/>
      <c r="E1" s="7"/>
      <c r="F1" s="7"/>
      <c r="G1" s="7"/>
      <c r="H1" s="7"/>
      <c r="I1" s="7"/>
      <c r="J1" s="7"/>
      <c r="K1" s="7"/>
      <c r="L1" s="7"/>
    </row>
    <row r="2" spans="2:15" ht="30" customHeight="1">
      <c r="B2" s="121" t="s">
        <v>134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</row>
    <row r="3" spans="2:15" s="4" customFormat="1" ht="69.75" customHeight="1">
      <c r="B3" s="43" t="s">
        <v>85</v>
      </c>
      <c r="C3" s="43" t="s">
        <v>86</v>
      </c>
      <c r="D3" s="43" t="s">
        <v>87</v>
      </c>
      <c r="E3" s="43" t="s">
        <v>88</v>
      </c>
      <c r="F3" s="43" t="s">
        <v>89</v>
      </c>
      <c r="G3" s="43" t="s">
        <v>90</v>
      </c>
      <c r="H3" s="43" t="s">
        <v>91</v>
      </c>
      <c r="I3" s="43" t="s">
        <v>92</v>
      </c>
      <c r="J3" s="43" t="s">
        <v>93</v>
      </c>
      <c r="K3" s="43" t="s">
        <v>94</v>
      </c>
      <c r="L3" s="43" t="s">
        <v>95</v>
      </c>
      <c r="M3" s="44"/>
      <c r="N3" s="43" t="s">
        <v>89</v>
      </c>
      <c r="O3" s="37"/>
    </row>
    <row r="4" spans="2:15">
      <c r="B4" s="12">
        <v>1</v>
      </c>
      <c r="C4" s="11" t="s">
        <v>96</v>
      </c>
      <c r="D4" s="106"/>
      <c r="E4" s="107"/>
      <c r="F4" s="107"/>
      <c r="G4" s="106"/>
      <c r="H4" s="106"/>
      <c r="I4" s="106"/>
      <c r="J4" s="106"/>
      <c r="K4" s="106"/>
      <c r="L4" s="106"/>
      <c r="N4" s="41"/>
    </row>
    <row r="5" spans="2:15">
      <c r="B5" s="9"/>
      <c r="C5" s="10" t="s">
        <v>97</v>
      </c>
      <c r="D5" s="52">
        <v>1</v>
      </c>
      <c r="E5" s="108" t="s">
        <v>98</v>
      </c>
      <c r="F5" s="109"/>
      <c r="G5" s="52">
        <v>2</v>
      </c>
      <c r="H5" s="52">
        <v>16</v>
      </c>
      <c r="I5" s="52">
        <v>256</v>
      </c>
      <c r="J5" s="52">
        <f t="shared" ref="J5:J8" si="0">G5*D5</f>
        <v>2</v>
      </c>
      <c r="K5" s="52">
        <f t="shared" ref="K5:K8" si="1">H5*D5</f>
        <v>16</v>
      </c>
      <c r="L5" s="110">
        <f t="shared" ref="L5:L7" si="2">I5*D5/1024</f>
        <v>0.25</v>
      </c>
      <c r="N5" s="131" t="s">
        <v>99</v>
      </c>
    </row>
    <row r="6" spans="2:15">
      <c r="B6" s="9"/>
      <c r="C6" s="10" t="s">
        <v>100</v>
      </c>
      <c r="D6" s="52">
        <v>1</v>
      </c>
      <c r="E6" s="108" t="s">
        <v>98</v>
      </c>
      <c r="F6" s="21"/>
      <c r="G6" s="52">
        <v>2</v>
      </c>
      <c r="H6" s="52">
        <v>16</v>
      </c>
      <c r="I6" s="52">
        <v>256</v>
      </c>
      <c r="J6" s="52">
        <f t="shared" si="0"/>
        <v>2</v>
      </c>
      <c r="K6" s="52">
        <f t="shared" si="1"/>
        <v>16</v>
      </c>
      <c r="L6" s="110">
        <f t="shared" si="2"/>
        <v>0.25</v>
      </c>
      <c r="N6" s="131"/>
    </row>
    <row r="7" spans="2:15">
      <c r="B7" s="9"/>
      <c r="C7" s="10" t="s">
        <v>101</v>
      </c>
      <c r="D7" s="52">
        <v>3</v>
      </c>
      <c r="E7" s="108" t="s">
        <v>102</v>
      </c>
      <c r="F7" s="21"/>
      <c r="G7" s="52">
        <v>4</v>
      </c>
      <c r="H7" s="52">
        <v>16</v>
      </c>
      <c r="I7" s="52">
        <v>256</v>
      </c>
      <c r="J7" s="52">
        <f t="shared" si="0"/>
        <v>12</v>
      </c>
      <c r="K7" s="52">
        <f t="shared" si="1"/>
        <v>48</v>
      </c>
      <c r="L7" s="110">
        <f t="shared" si="2"/>
        <v>0.75</v>
      </c>
      <c r="N7" s="131"/>
    </row>
    <row r="8" spans="2:15">
      <c r="B8" s="5"/>
      <c r="C8" s="28" t="s">
        <v>103</v>
      </c>
      <c r="D8" s="52">
        <v>1</v>
      </c>
      <c r="E8" s="108" t="s">
        <v>102</v>
      </c>
      <c r="F8" s="15"/>
      <c r="G8" s="52">
        <v>8</v>
      </c>
      <c r="H8" s="52">
        <v>32</v>
      </c>
      <c r="I8" s="52">
        <v>256</v>
      </c>
      <c r="J8" s="52">
        <f t="shared" si="0"/>
        <v>8</v>
      </c>
      <c r="K8" s="52">
        <f t="shared" si="1"/>
        <v>32</v>
      </c>
      <c r="L8" s="110">
        <f>I8*D8/1024</f>
        <v>0.25</v>
      </c>
      <c r="N8" s="41"/>
      <c r="O8" s="26"/>
    </row>
    <row r="9" spans="2:15">
      <c r="B9" s="5"/>
      <c r="C9" s="3"/>
      <c r="D9" s="52"/>
      <c r="E9" s="108"/>
      <c r="F9" s="15"/>
      <c r="G9" s="52"/>
      <c r="H9" s="52"/>
      <c r="I9" s="52"/>
      <c r="J9" s="52"/>
      <c r="K9" s="52"/>
      <c r="L9" s="110"/>
      <c r="N9" s="41"/>
      <c r="O9" s="23"/>
    </row>
    <row r="10" spans="2:15">
      <c r="B10" s="6">
        <v>2</v>
      </c>
      <c r="C10" s="11" t="s">
        <v>104</v>
      </c>
      <c r="D10" s="52"/>
      <c r="E10" s="108"/>
      <c r="F10" s="15"/>
      <c r="G10" s="52"/>
      <c r="H10" s="52"/>
      <c r="I10" s="52"/>
      <c r="J10" s="52"/>
      <c r="K10" s="52"/>
      <c r="L10" s="110"/>
      <c r="N10" s="41"/>
      <c r="O10" s="23"/>
    </row>
    <row r="11" spans="2:15">
      <c r="B11" s="5"/>
      <c r="C11" s="3" t="s">
        <v>129</v>
      </c>
      <c r="D11" s="52">
        <v>2</v>
      </c>
      <c r="E11" s="108" t="s">
        <v>102</v>
      </c>
      <c r="F11" s="15"/>
      <c r="G11" s="52">
        <v>2</v>
      </c>
      <c r="H11" s="52">
        <v>16</v>
      </c>
      <c r="I11" s="52">
        <v>256</v>
      </c>
      <c r="J11" s="52">
        <f t="shared" ref="J11" si="3">G11*D11</f>
        <v>4</v>
      </c>
      <c r="K11" s="52">
        <f t="shared" ref="K11" si="4">H11*D11</f>
        <v>32</v>
      </c>
      <c r="L11" s="110">
        <f t="shared" ref="L11:L12" si="5">I11*D11/1024</f>
        <v>0.5</v>
      </c>
      <c r="N11" s="41"/>
      <c r="O11" s="23"/>
    </row>
    <row r="12" spans="2:15">
      <c r="B12" s="5"/>
      <c r="C12" s="3" t="s">
        <v>106</v>
      </c>
      <c r="D12" s="52">
        <v>1</v>
      </c>
      <c r="E12" s="108"/>
      <c r="F12" s="15"/>
      <c r="G12" s="52"/>
      <c r="H12" s="52"/>
      <c r="I12" s="52">
        <f>I20+D8*512</f>
        <v>1012</v>
      </c>
      <c r="J12" s="52"/>
      <c r="K12" s="52"/>
      <c r="L12" s="110">
        <f t="shared" si="5"/>
        <v>0.98828125</v>
      </c>
      <c r="N12" s="41"/>
      <c r="O12" s="23"/>
    </row>
    <row r="13" spans="2:15">
      <c r="B13" s="5"/>
      <c r="D13" s="52"/>
      <c r="E13" s="108"/>
      <c r="F13" s="108"/>
      <c r="G13" s="52"/>
      <c r="H13" s="52"/>
      <c r="I13" s="52"/>
      <c r="J13" s="52"/>
      <c r="K13" s="52"/>
      <c r="L13" s="110"/>
      <c r="N13" s="41"/>
    </row>
    <row r="14" spans="2:15">
      <c r="B14" s="6">
        <v>3</v>
      </c>
      <c r="C14" s="22" t="s">
        <v>107</v>
      </c>
      <c r="D14" s="112"/>
      <c r="E14" s="112"/>
      <c r="F14" s="112"/>
      <c r="G14" s="112"/>
      <c r="H14" s="112"/>
      <c r="I14" s="112"/>
      <c r="J14" s="112"/>
      <c r="K14" s="112"/>
      <c r="L14" s="110"/>
      <c r="M14" s="2"/>
      <c r="N14" s="41"/>
    </row>
    <row r="15" spans="2:15">
      <c r="B15" s="5"/>
      <c r="C15" s="14" t="s">
        <v>108</v>
      </c>
      <c r="D15" s="52">
        <v>1</v>
      </c>
      <c r="E15" s="113" t="s">
        <v>98</v>
      </c>
      <c r="F15" s="15"/>
      <c r="G15" s="52">
        <v>4</v>
      </c>
      <c r="H15" s="52">
        <f>G15*16</f>
        <v>64</v>
      </c>
      <c r="I15" s="52">
        <v>300</v>
      </c>
      <c r="J15" s="52">
        <f>G15*D15</f>
        <v>4</v>
      </c>
      <c r="K15" s="52">
        <f>H15*D15</f>
        <v>64</v>
      </c>
      <c r="L15" s="110">
        <f>I15*D15/1024</f>
        <v>0.29296875</v>
      </c>
      <c r="M15" s="2"/>
      <c r="N15" s="41"/>
    </row>
    <row r="16" spans="2:15">
      <c r="B16" s="5"/>
      <c r="C16" s="28" t="s">
        <v>109</v>
      </c>
      <c r="D16" s="52">
        <v>1</v>
      </c>
      <c r="E16" s="113" t="s">
        <v>98</v>
      </c>
      <c r="F16" s="15"/>
      <c r="G16" s="52"/>
      <c r="H16" s="52"/>
      <c r="I16" s="52"/>
      <c r="J16" s="52"/>
      <c r="K16" s="52"/>
      <c r="L16" s="110"/>
      <c r="M16" s="2"/>
      <c r="N16" s="41"/>
    </row>
    <row r="17" spans="2:14">
      <c r="B17" s="5"/>
      <c r="C17" s="28" t="s">
        <v>110</v>
      </c>
      <c r="D17" s="52">
        <v>1</v>
      </c>
      <c r="E17" s="114" t="s">
        <v>132</v>
      </c>
      <c r="F17" s="114"/>
      <c r="G17" s="115"/>
      <c r="H17" s="52"/>
      <c r="I17" s="52">
        <v>500</v>
      </c>
      <c r="J17" s="115"/>
      <c r="K17" s="52"/>
      <c r="L17" s="110">
        <f>I17*D17/1024</f>
        <v>0.48828125</v>
      </c>
      <c r="M17" s="2"/>
      <c r="N17" s="41"/>
    </row>
    <row r="18" spans="2:14">
      <c r="B18" s="5"/>
      <c r="C18" s="3"/>
      <c r="D18" s="52"/>
      <c r="E18" s="114"/>
      <c r="F18" s="114"/>
      <c r="G18" s="115"/>
      <c r="H18" s="52"/>
      <c r="I18" s="52"/>
      <c r="J18" s="115"/>
      <c r="K18" s="52"/>
      <c r="L18" s="110"/>
      <c r="M18" s="2"/>
      <c r="N18" s="41"/>
    </row>
    <row r="19" spans="2:14">
      <c r="B19" s="6">
        <v>4</v>
      </c>
      <c r="C19" s="8" t="s">
        <v>115</v>
      </c>
      <c r="D19" s="112"/>
      <c r="E19" s="112"/>
      <c r="F19" s="112"/>
      <c r="G19" s="112"/>
      <c r="H19" s="112"/>
      <c r="I19" s="112"/>
      <c r="J19" s="112"/>
      <c r="K19" s="112"/>
      <c r="L19" s="110"/>
      <c r="M19" s="2"/>
      <c r="N19" s="41"/>
    </row>
    <row r="20" spans="2:14" ht="72">
      <c r="B20" s="5"/>
      <c r="C20" s="29" t="s">
        <v>61</v>
      </c>
      <c r="D20" s="116">
        <v>1</v>
      </c>
      <c r="E20" s="117" t="s">
        <v>116</v>
      </c>
      <c r="F20" s="20" t="s">
        <v>117</v>
      </c>
      <c r="G20" s="52"/>
      <c r="H20" s="52"/>
      <c r="I20" s="52">
        <v>500</v>
      </c>
      <c r="J20" s="52"/>
      <c r="K20" s="52"/>
      <c r="L20" s="110">
        <f>I20/1024</f>
        <v>0.48828125</v>
      </c>
      <c r="M20" s="2"/>
      <c r="N20" s="41"/>
    </row>
    <row r="21" spans="2:14">
      <c r="B21" s="5"/>
      <c r="C21" s="1"/>
      <c r="D21" s="52"/>
      <c r="E21" s="113"/>
      <c r="F21" s="113"/>
      <c r="G21" s="52"/>
      <c r="H21" s="52"/>
      <c r="I21" s="52"/>
      <c r="J21" s="52"/>
      <c r="K21" s="52"/>
      <c r="L21" s="110"/>
      <c r="M21" s="2"/>
      <c r="N21" s="41"/>
    </row>
    <row r="22" spans="2:14">
      <c r="B22" s="6">
        <v>5</v>
      </c>
      <c r="C22" s="8" t="s">
        <v>118</v>
      </c>
      <c r="D22" s="112"/>
      <c r="E22" s="112"/>
      <c r="F22" s="112"/>
      <c r="G22" s="112"/>
      <c r="H22" s="112"/>
      <c r="I22" s="112"/>
      <c r="J22" s="112"/>
      <c r="K22" s="112"/>
      <c r="L22" s="110"/>
      <c r="M22" s="2"/>
      <c r="N22" s="41"/>
    </row>
    <row r="23" spans="2:14">
      <c r="B23" s="5"/>
      <c r="C23" s="18" t="s">
        <v>119</v>
      </c>
      <c r="D23" s="52">
        <v>1</v>
      </c>
      <c r="E23" s="108" t="s">
        <v>120</v>
      </c>
      <c r="F23" s="108"/>
      <c r="G23" s="52"/>
      <c r="H23" s="52"/>
      <c r="I23" s="52"/>
      <c r="J23" s="52"/>
      <c r="K23" s="52"/>
      <c r="L23" s="110"/>
      <c r="N23" s="41"/>
    </row>
    <row r="24" spans="2:14">
      <c r="B24" s="5"/>
      <c r="C24" s="18" t="s">
        <v>50</v>
      </c>
      <c r="D24" s="52">
        <v>1</v>
      </c>
      <c r="E24" s="46" t="s">
        <v>121</v>
      </c>
      <c r="F24" s="108"/>
      <c r="G24" s="52"/>
      <c r="H24" s="52"/>
      <c r="I24" s="52">
        <v>1024</v>
      </c>
      <c r="J24" s="52"/>
      <c r="K24" s="52"/>
      <c r="L24" s="110">
        <f>I24/1024</f>
        <v>1</v>
      </c>
      <c r="N24" s="41"/>
    </row>
    <row r="25" spans="2:14">
      <c r="B25" s="5"/>
      <c r="C25" s="18" t="s">
        <v>122</v>
      </c>
      <c r="D25" s="52">
        <v>1</v>
      </c>
      <c r="E25" s="108"/>
      <c r="F25" s="108"/>
      <c r="G25" s="52"/>
      <c r="H25" s="52"/>
      <c r="I25" s="52"/>
      <c r="J25" s="52"/>
      <c r="K25" s="52"/>
      <c r="L25" s="110"/>
      <c r="N25" s="41" t="s">
        <v>123</v>
      </c>
    </row>
    <row r="26" spans="2:14">
      <c r="B26" s="5"/>
      <c r="C26" s="18" t="s">
        <v>100</v>
      </c>
      <c r="D26" s="52">
        <v>1</v>
      </c>
      <c r="E26" s="108"/>
      <c r="F26" s="108"/>
      <c r="G26" s="52">
        <v>2</v>
      </c>
      <c r="H26" s="52">
        <v>8</v>
      </c>
      <c r="I26" s="52">
        <v>256</v>
      </c>
      <c r="J26" s="52">
        <v>4</v>
      </c>
      <c r="K26" s="52">
        <v>8</v>
      </c>
      <c r="L26" s="110">
        <f>I26/1024</f>
        <v>0.25</v>
      </c>
      <c r="N26" s="41" t="s">
        <v>124</v>
      </c>
    </row>
    <row r="27" spans="2:14">
      <c r="B27" s="5"/>
      <c r="C27" s="18" t="s">
        <v>125</v>
      </c>
      <c r="D27" s="52">
        <v>1</v>
      </c>
      <c r="E27" s="46" t="s">
        <v>126</v>
      </c>
      <c r="F27" s="108"/>
      <c r="G27" s="52"/>
      <c r="H27" s="52"/>
      <c r="I27" s="52"/>
      <c r="J27" s="52"/>
      <c r="K27" s="52"/>
      <c r="L27" s="110"/>
      <c r="M27" s="118"/>
      <c r="N27" s="41"/>
    </row>
    <row r="28" spans="2:14">
      <c r="B28" s="5"/>
    </row>
    <row r="30" spans="2:14">
      <c r="C30" s="23"/>
    </row>
    <row r="31" spans="2:14">
      <c r="C31" s="23"/>
      <c r="G31" s="4"/>
      <c r="H31" s="4"/>
      <c r="I31" s="4"/>
      <c r="J31" s="4"/>
      <c r="K31" s="4"/>
      <c r="L31" s="4"/>
      <c r="M31" s="4"/>
    </row>
    <row r="32" spans="2:14">
      <c r="C32" s="24"/>
      <c r="G32" s="4"/>
      <c r="H32" s="4"/>
      <c r="I32" s="4"/>
      <c r="J32" s="4"/>
      <c r="K32" s="4"/>
      <c r="L32" s="4"/>
      <c r="M32" s="4"/>
      <c r="N32" s="4"/>
    </row>
    <row r="33" spans="3:14" ht="17.45">
      <c r="C33" s="25"/>
      <c r="G33" s="4"/>
      <c r="H33" s="4"/>
      <c r="I33" s="4"/>
      <c r="J33" s="4"/>
      <c r="K33" s="4"/>
      <c r="L33" s="4"/>
      <c r="M33" s="4"/>
      <c r="N33" s="4"/>
    </row>
    <row r="34" spans="3:14">
      <c r="G34" s="4"/>
      <c r="H34" s="4"/>
      <c r="I34" s="4"/>
      <c r="J34" s="4"/>
      <c r="K34" s="4"/>
      <c r="L34" s="4"/>
      <c r="M34" s="4"/>
      <c r="N34" s="4"/>
    </row>
    <row r="35" spans="3:14">
      <c r="C35" s="26"/>
      <c r="G35" s="4"/>
      <c r="H35" s="4"/>
      <c r="I35" s="4"/>
      <c r="J35" s="4"/>
      <c r="K35" s="4"/>
      <c r="L35" s="4"/>
      <c r="M35" s="4"/>
      <c r="N35" s="4"/>
    </row>
    <row r="36" spans="3:14">
      <c r="C36" s="23"/>
      <c r="G36" s="4"/>
      <c r="H36" s="4"/>
      <c r="I36" s="4"/>
      <c r="J36" s="4"/>
      <c r="K36" s="4"/>
      <c r="L36" s="4"/>
      <c r="M36" s="4"/>
      <c r="N36" s="4"/>
    </row>
    <row r="37" spans="3:14">
      <c r="C37" s="23"/>
      <c r="G37" s="4"/>
      <c r="H37" s="4"/>
      <c r="I37" s="4"/>
      <c r="J37" s="4"/>
      <c r="K37" s="4"/>
      <c r="L37" s="4"/>
      <c r="M37" s="4"/>
      <c r="N37" s="4"/>
    </row>
    <row r="38" spans="3:14">
      <c r="C38" s="23"/>
      <c r="G38" s="4"/>
      <c r="H38" s="4"/>
      <c r="I38" s="4"/>
      <c r="J38" s="4"/>
      <c r="K38" s="4"/>
      <c r="L38" s="4"/>
      <c r="M38" s="4"/>
      <c r="N38" s="4"/>
    </row>
    <row r="39" spans="3:14">
      <c r="C39" s="23"/>
      <c r="G39" s="4"/>
      <c r="H39" s="4"/>
      <c r="I39" s="4"/>
      <c r="J39" s="4"/>
      <c r="K39" s="4"/>
      <c r="L39" s="4"/>
      <c r="M39" s="4"/>
      <c r="N39" s="4"/>
    </row>
    <row r="40" spans="3:14">
      <c r="C40" s="27"/>
      <c r="G40" s="4"/>
      <c r="H40" s="4"/>
      <c r="I40" s="4"/>
      <c r="J40" s="4"/>
      <c r="K40" s="4"/>
      <c r="L40" s="4"/>
      <c r="M40" s="4"/>
      <c r="N40" s="4"/>
    </row>
    <row r="41" spans="3:14">
      <c r="G41" s="4"/>
      <c r="H41" s="4"/>
      <c r="I41" s="4"/>
      <c r="J41" s="4"/>
      <c r="K41" s="4"/>
      <c r="L41" s="4"/>
      <c r="M41" s="4"/>
      <c r="N41" s="4"/>
    </row>
    <row r="42" spans="3:14">
      <c r="G42" s="4"/>
      <c r="H42" s="4"/>
      <c r="I42" s="4"/>
      <c r="J42" s="4"/>
      <c r="K42" s="4"/>
      <c r="L42" s="4"/>
      <c r="M42" s="4"/>
      <c r="N42" s="4"/>
    </row>
    <row r="43" spans="3:14">
      <c r="N43" s="4"/>
    </row>
  </sheetData>
  <mergeCells count="2">
    <mergeCell ref="N5:N7"/>
    <mergeCell ref="B2:N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B6C0A9F2225C43833B4F215DC68712" ma:contentTypeVersion="12" ma:contentTypeDescription="Create a new document." ma:contentTypeScope="" ma:versionID="7b3b2d824c7947e8abdbc3ddabda7fe0">
  <xsd:schema xmlns:xsd="http://www.w3.org/2001/XMLSchema" xmlns:xs="http://www.w3.org/2001/XMLSchema" xmlns:p="http://schemas.microsoft.com/office/2006/metadata/properties" xmlns:ns2="086ba776-5492-4b51-9c63-ce93b47fe336" xmlns:ns3="142b792f-66c2-45fb-99fc-1e801efee0c1" targetNamespace="http://schemas.microsoft.com/office/2006/metadata/properties" ma:root="true" ma:fieldsID="e1f865ce31576520ad2493bb2e3950fe" ns2:_="" ns3:_="">
    <xsd:import namespace="086ba776-5492-4b51-9c63-ce93b47fe336"/>
    <xsd:import namespace="142b792f-66c2-45fb-99fc-1e801efee0c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6ba776-5492-4b51-9c63-ce93b47fe3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5f223b0e-6099-427b-8a06-7e583c67c19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2b792f-66c2-45fb-99fc-1e801efee0c1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428e024-e1e9-4118-a5f2-73a445a9327c}" ma:internalName="TaxCatchAll" ma:showField="CatchAllData" ma:web="142b792f-66c2-45fb-99fc-1e801efee0c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86ba776-5492-4b51-9c63-ce93b47fe336">
      <Terms xmlns="http://schemas.microsoft.com/office/infopath/2007/PartnerControls"/>
    </lcf76f155ced4ddcb4097134ff3c332f>
    <TaxCatchAll xmlns="142b792f-66c2-45fb-99fc-1e801efee0c1" xsi:nil="true"/>
  </documentManagement>
</p:properties>
</file>

<file path=customXml/itemProps1.xml><?xml version="1.0" encoding="utf-8"?>
<ds:datastoreItem xmlns:ds="http://schemas.openxmlformats.org/officeDocument/2006/customXml" ds:itemID="{271FF707-2422-45C4-8AC3-6BD83F88D50E}"/>
</file>

<file path=customXml/itemProps2.xml><?xml version="1.0" encoding="utf-8"?>
<ds:datastoreItem xmlns:ds="http://schemas.openxmlformats.org/officeDocument/2006/customXml" ds:itemID="{DF21BBBA-F7AB-46DF-8B1D-CBE64C2C7837}"/>
</file>

<file path=customXml/itemProps3.xml><?xml version="1.0" encoding="utf-8"?>
<ds:datastoreItem xmlns:ds="http://schemas.openxmlformats.org/officeDocument/2006/customXml" ds:itemID="{A03C2366-BBF4-464A-90AC-72F3EC0C82C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Karthik Krapa;Anant Kumar</dc:creator>
  <cp:keywords/>
  <dc:description/>
  <cp:lastModifiedBy/>
  <cp:revision/>
  <dcterms:created xsi:type="dcterms:W3CDTF">2021-05-06T11:50:13Z</dcterms:created>
  <dcterms:modified xsi:type="dcterms:W3CDTF">2026-04-02T09:11:44Z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0x010100FA7C9314B57F7B4E95E833F2B3E5723C</vt:lpwstr>
  </property>
  <property fmtid="{D5CDD505-2E9C-101B-9397-08002B2CF9AE}" pid="3" name="MediaServiceImageTags">
    <vt:lpwstr/>
  </property>
</Properties>
</file>