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19"/>
  <workbookPr filterPrivacy="1"/>
  <xr:revisionPtr revIDLastSave="0" documentId="8_{7CC7D8AA-6455-46F1-99A7-A45E8BFFCE95}" xr6:coauthVersionLast="47" xr6:coauthVersionMax="47" xr10:uidLastSave="{00000000-0000-0000-0000-000000000000}"/>
  <bookViews>
    <workbookView xWindow="-110" yWindow="-110" windowWidth="19420" windowHeight="10300" firstSheet="6" activeTab="6" xr2:uid="{00000000-000D-0000-FFFF-FFFF00000000}"/>
  </bookViews>
  <sheets>
    <sheet name="Summary year 1 Without DR" sheetId="31" r:id="rId1"/>
    <sheet name="Summary year 1" sheetId="22" r:id="rId2"/>
    <sheet name="Summary year 2" sheetId="24" r:id="rId3"/>
    <sheet name="Summary year 3" sheetId="28" r:id="rId4"/>
    <sheet name="Summary year 4" sheetId="29" r:id="rId5"/>
    <sheet name="Summary year 5" sheetId="30" r:id="rId6"/>
    <sheet name="FiveYearsAWSPricing" sheetId="23" r:id="rId7"/>
  </sheets>
  <definedNames>
    <definedName name="d">#REF!</definedName>
    <definedName name="q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31" l="1"/>
  <c r="D22" i="31" s="1"/>
  <c r="E18" i="31"/>
  <c r="E13" i="31"/>
  <c r="E12" i="31"/>
  <c r="E11" i="31"/>
  <c r="E5" i="31"/>
  <c r="E16" i="31" l="1"/>
  <c r="E20" i="31" s="1"/>
  <c r="E21" i="31"/>
  <c r="E22" i="31" s="1"/>
  <c r="D24" i="31"/>
  <c r="D25" i="31" s="1"/>
  <c r="D27" i="31" s="1"/>
  <c r="E24" i="31" l="1"/>
  <c r="E25" i="31" s="1"/>
  <c r="E27" i="31" s="1"/>
  <c r="E31" i="31" s="1"/>
  <c r="D19" i="30" l="1"/>
  <c r="D21" i="30" s="1"/>
  <c r="E12" i="30"/>
  <c r="E11" i="30"/>
  <c r="E10" i="30"/>
  <c r="D19" i="29"/>
  <c r="D21" i="29" s="1"/>
  <c r="E12" i="29"/>
  <c r="E11" i="29"/>
  <c r="E10" i="29"/>
  <c r="D19" i="28"/>
  <c r="D21" i="28" s="1"/>
  <c r="E12" i="28"/>
  <c r="E11" i="28"/>
  <c r="E10" i="28"/>
  <c r="E8" i="23"/>
  <c r="E6" i="23"/>
  <c r="E4" i="30" s="1"/>
  <c r="E5" i="23"/>
  <c r="E4" i="29" s="1"/>
  <c r="E4" i="23"/>
  <c r="E4" i="28" s="1"/>
  <c r="E3" i="23"/>
  <c r="E4" i="24" s="1"/>
  <c r="E2" i="23"/>
  <c r="E4" i="22" s="1"/>
  <c r="E7" i="23"/>
  <c r="D19" i="24"/>
  <c r="D21" i="24" s="1"/>
  <c r="E12" i="24"/>
  <c r="E11" i="24"/>
  <c r="E10" i="24"/>
  <c r="E5" i="22" l="1"/>
  <c r="E5" i="24"/>
  <c r="E5" i="28"/>
  <c r="E5" i="30"/>
  <c r="E5" i="29"/>
  <c r="E6" i="28"/>
  <c r="E6" i="30"/>
  <c r="E6" i="24"/>
  <c r="E6" i="22"/>
  <c r="E6" i="29"/>
  <c r="D23" i="30"/>
  <c r="D24" i="30" s="1"/>
  <c r="D26" i="30" s="1"/>
  <c r="D23" i="29"/>
  <c r="D24" i="29" s="1"/>
  <c r="D26" i="29" s="1"/>
  <c r="D23" i="28"/>
  <c r="D24" i="28" s="1"/>
  <c r="D26" i="28" s="1"/>
  <c r="D23" i="24"/>
  <c r="D24" i="24" s="1"/>
  <c r="D26" i="24" s="1"/>
  <c r="E14" i="22"/>
  <c r="E13" i="22"/>
  <c r="E12" i="22"/>
  <c r="D21" i="22" l="1"/>
  <c r="D23" i="22" l="1"/>
  <c r="D25" i="22" s="1"/>
  <c r="D26" i="22" s="1"/>
  <c r="D28" i="22" s="1"/>
  <c r="E17" i="29" l="1"/>
  <c r="E15" i="29"/>
  <c r="E15" i="30"/>
  <c r="E17" i="30"/>
  <c r="E15" i="24"/>
  <c r="E17" i="24"/>
  <c r="E15" i="28"/>
  <c r="E17" i="28"/>
  <c r="E17" i="22"/>
  <c r="E19" i="22"/>
  <c r="E21" i="22" l="1"/>
  <c r="E19" i="29"/>
  <c r="E20" i="29" s="1"/>
  <c r="E21" i="29" s="1"/>
  <c r="E23" i="29" s="1"/>
  <c r="E24" i="29" s="1"/>
  <c r="E26" i="29" s="1"/>
  <c r="E30" i="29" s="1"/>
  <c r="E19" i="28"/>
  <c r="E20" i="28" s="1"/>
  <c r="E21" i="28" s="1"/>
  <c r="E23" i="28" s="1"/>
  <c r="E24" i="28" s="1"/>
  <c r="E26" i="28" s="1"/>
  <c r="E30" i="28" s="1"/>
  <c r="E19" i="30"/>
  <c r="E20" i="30" s="1"/>
  <c r="E21" i="30" s="1"/>
  <c r="E23" i="30" s="1"/>
  <c r="E24" i="30" s="1"/>
  <c r="E26" i="30" s="1"/>
  <c r="E30" i="30" s="1"/>
  <c r="E19" i="24"/>
  <c r="E22" i="22" l="1"/>
  <c r="E23" i="22" s="1"/>
  <c r="E25" i="22" s="1"/>
  <c r="E26" i="22" s="1"/>
  <c r="E28" i="22" s="1"/>
  <c r="E32" i="22" s="1"/>
  <c r="E20" i="24"/>
  <c r="E21" i="24" s="1"/>
  <c r="E23" i="24" s="1"/>
  <c r="E24" i="24" s="1"/>
  <c r="E26" i="24" s="1"/>
  <c r="E30" i="24" s="1"/>
</calcChain>
</file>

<file path=xl/sharedStrings.xml><?xml version="1.0" encoding="utf-8"?>
<sst xmlns="http://schemas.openxmlformats.org/spreadsheetml/2006/main" count="200" uniqueCount="48">
  <si>
    <t>One-Time Cost ($)</t>
  </si>
  <si>
    <t>Cost ($/month)</t>
  </si>
  <si>
    <t>Comments</t>
  </si>
  <si>
    <t>Businessnext</t>
  </si>
  <si>
    <t>Production DC</t>
  </si>
  <si>
    <t>Pre-Prod</t>
  </si>
  <si>
    <t>UAT</t>
  </si>
  <si>
    <t>SIT</t>
  </si>
  <si>
    <t>Performance Testing</t>
  </si>
  <si>
    <t xml:space="preserve">Migration/Data Bootup </t>
  </si>
  <si>
    <t>Optional Component</t>
  </si>
  <si>
    <t>Security</t>
  </si>
  <si>
    <t>Airtel SOC</t>
  </si>
  <si>
    <t>Infra for SOC machines</t>
  </si>
  <si>
    <t>Rs. 30000/unit/year</t>
  </si>
  <si>
    <t>Requirement 4 – Antivirus &amp; EDR</t>
  </si>
  <si>
    <t>Rs. 2600/unit/year</t>
  </si>
  <si>
    <t>Requirement 6 – Data Discovery and Classification of Data</t>
  </si>
  <si>
    <t>Rs. 4000/unit/year</t>
  </si>
  <si>
    <t>Requirement 7 – DLP</t>
  </si>
  <si>
    <t>Total Usage</t>
  </si>
  <si>
    <t>Business Support</t>
  </si>
  <si>
    <t>Total Platform cost (Yearly cost)</t>
  </si>
  <si>
    <t>Buffer</t>
  </si>
  <si>
    <t>Total cost (AWS)</t>
  </si>
  <si>
    <t>Managed Services</t>
  </si>
  <si>
    <t>Total cost</t>
  </si>
  <si>
    <t>Discount</t>
  </si>
  <si>
    <t>Dicounted cost</t>
  </si>
  <si>
    <t>Users</t>
  </si>
  <si>
    <t>PUPM</t>
  </si>
  <si>
    <t>Production DR</t>
  </si>
  <si>
    <t>Product</t>
  </si>
  <si>
    <t>Environments / Year &gt;</t>
  </si>
  <si>
    <t>Year</t>
  </si>
  <si>
    <t>Calculator</t>
  </si>
  <si>
    <t>Pricing/ month</t>
  </si>
  <si>
    <t>Pricing/ year</t>
  </si>
  <si>
    <t>https://calculator.aws/#/estimate?id=3d855f88245edf875bd7bd9d307b2b11d8555634</t>
  </si>
  <si>
    <t>https://calculator.aws/#/estimate?id=b15ea983953bec217af05d33c395c8fabf562d91</t>
  </si>
  <si>
    <t>https://calculator.aws/#/estimate?id=02ca4d39c3c1dd8e139d16385ba97d38460610fc</t>
  </si>
  <si>
    <t>https://calculator.aws/#/estimate?id=2e73720c147961ebd6a8f6dbbb301d1dde93327e</t>
  </si>
  <si>
    <t>https://calculator.aws/#/estimate?id=59de0de045369043531891b96044084450c7a513</t>
  </si>
  <si>
    <t>https://calculator.aws/#/estimate?id=82271f7be6b2ee0d1fab039710682bb0c8a34364</t>
  </si>
  <si>
    <t>PRE-PROD</t>
  </si>
  <si>
    <t>https://calculator.aws/#/estimate?id=3cce5dfb7a276d282e22330b899dc8e25f2881a5</t>
  </si>
  <si>
    <t>Note:</t>
  </si>
  <si>
    <r>
      <t xml:space="preserve">Costs for </t>
    </r>
    <r>
      <rPr>
        <b/>
        <sz val="11"/>
        <color theme="1"/>
        <rFont val="Calibri"/>
        <family val="2"/>
        <scheme val="minor"/>
      </rPr>
      <t>pre-prod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SIT</t>
    </r>
    <r>
      <rPr>
        <sz val="11"/>
        <color theme="1"/>
        <rFont val="Calibri"/>
        <family val="2"/>
        <scheme val="minor"/>
      </rPr>
      <t xml:space="preserve">, and </t>
    </r>
    <r>
      <rPr>
        <b/>
        <sz val="11"/>
        <color theme="1"/>
        <rFont val="Calibri"/>
        <family val="2"/>
        <scheme val="minor"/>
      </rPr>
      <t>UAT</t>
    </r>
    <r>
      <rPr>
        <sz val="11"/>
        <color theme="1"/>
        <rFont val="Calibri"/>
        <family val="2"/>
        <scheme val="minor"/>
      </rPr>
      <t xml:space="preserve"> environments may increase by </t>
    </r>
    <r>
      <rPr>
        <b/>
        <sz val="11"/>
        <color theme="1"/>
        <rFont val="Calibri"/>
        <family val="2"/>
        <scheme val="minor"/>
      </rPr>
      <t>5–10% per year</t>
    </r>
    <r>
      <rPr>
        <sz val="11"/>
        <color theme="1"/>
        <rFont val="Calibri"/>
        <family val="2"/>
        <scheme val="minor"/>
      </rPr>
      <t>, depending on data growth and usage patterns.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</si>
</sst>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44" formatCode="_(&quot;$&quot;* #,##0.00_);_(&quot;$&quot;* \(#,##0.00\);_(&quot;$&quot;* &quot;-&quot;??_);_(@_)"/>
    <numFmt numFmtId="164" formatCode="_ * #,##0.00_ ;_ * \-#,##0.00_ ;_ * &quot;-&quot;??_ ;_ @_ "/>
    <numFmt numFmtId="165" formatCode="_-[$$-409]* #,##0.00_ ;_-[$$-409]* \-#,##0.00\ ;_-[$$-409]* &quot;-&quot;??_ ;_-@_ "/>
    <numFmt numFmtId="166" formatCode="[$INR]\ #,##0.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b/>
      <i/>
      <sz val="12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rgb="FF2F5496"/>
      <name val="Calibri"/>
      <family val="2"/>
      <scheme val="minor"/>
    </font>
    <font>
      <sz val="12"/>
      <color rgb="FF2F549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indexed="8"/>
      <name val="Calibri"/>
      <family val="2"/>
      <charset val="1"/>
    </font>
    <font>
      <sz val="10"/>
      <name val="Arial"/>
      <family val="2"/>
    </font>
    <font>
      <u/>
      <sz val="11"/>
      <color theme="10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</borders>
  <cellStyleXfs count="23">
    <xf numFmtId="0" fontId="0" fillId="0" borderId="0"/>
    <xf numFmtId="0" fontId="2" fillId="0" borderId="0">
      <alignment vertical="center"/>
    </xf>
    <xf numFmtId="0" fontId="1" fillId="0" borderId="0"/>
    <xf numFmtId="0" fontId="3" fillId="0" borderId="0"/>
    <xf numFmtId="0" fontId="4" fillId="0" borderId="0"/>
    <xf numFmtId="164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16" fillId="0" borderId="0"/>
    <xf numFmtId="0" fontId="17" fillId="0" borderId="0"/>
    <xf numFmtId="0" fontId="2" fillId="0" borderId="0"/>
    <xf numFmtId="0" fontId="2" fillId="0" borderId="0" applyProtection="0">
      <alignment vertical="center"/>
    </xf>
    <xf numFmtId="164" fontId="1" fillId="0" borderId="0" applyFont="0" applyFill="0" applyBorder="0" applyAlignment="0" applyProtection="0"/>
    <xf numFmtId="0" fontId="18" fillId="0" borderId="0">
      <alignment vertical="center"/>
    </xf>
    <xf numFmtId="0" fontId="19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2" fillId="0" borderId="0">
      <alignment vertical="center"/>
    </xf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0" fontId="1" fillId="0" borderId="0"/>
    <xf numFmtId="9" fontId="16" fillId="0" borderId="0" applyFont="0" applyFill="0" applyBorder="0" applyAlignment="0" applyProtection="0"/>
    <xf numFmtId="0" fontId="1" fillId="0" borderId="0"/>
  </cellStyleXfs>
  <cellXfs count="77">
    <xf numFmtId="0" fontId="0" fillId="0" borderId="0" xfId="0"/>
    <xf numFmtId="0" fontId="7" fillId="0" borderId="1" xfId="0" applyFont="1" applyBorder="1" applyAlignment="1">
      <alignment horizontal="center"/>
    </xf>
    <xf numFmtId="0" fontId="6" fillId="0" borderId="0" xfId="0" applyFont="1"/>
    <xf numFmtId="164" fontId="6" fillId="0" borderId="0" xfId="0" applyNumberFormat="1" applyFont="1"/>
    <xf numFmtId="0" fontId="9" fillId="0" borderId="1" xfId="0" applyFont="1" applyBorder="1" applyAlignment="1">
      <alignment vertical="center"/>
    </xf>
    <xf numFmtId="0" fontId="10" fillId="0" borderId="1" xfId="0" applyFont="1" applyBorder="1"/>
    <xf numFmtId="6" fontId="10" fillId="0" borderId="1" xfId="0" applyNumberFormat="1" applyFont="1" applyBorder="1"/>
    <xf numFmtId="44" fontId="9" fillId="0" borderId="1" xfId="0" applyNumberFormat="1" applyFont="1" applyBorder="1"/>
    <xf numFmtId="6" fontId="6" fillId="0" borderId="0" xfId="0" applyNumberFormat="1" applyFont="1"/>
    <xf numFmtId="3" fontId="9" fillId="2" borderId="1" xfId="4" applyNumberFormat="1" applyFont="1" applyFill="1" applyBorder="1" applyAlignment="1">
      <alignment horizontal="center" vertical="center" wrapText="1"/>
    </xf>
    <xf numFmtId="0" fontId="11" fillId="0" borderId="1" xfId="0" applyFont="1" applyBorder="1"/>
    <xf numFmtId="0" fontId="6" fillId="0" borderId="0" xfId="0" applyFont="1" applyAlignment="1">
      <alignment vertical="center"/>
    </xf>
    <xf numFmtId="0" fontId="8" fillId="0" borderId="0" xfId="0" applyFont="1"/>
    <xf numFmtId="44" fontId="6" fillId="0" borderId="0" xfId="0" applyNumberFormat="1" applyFont="1"/>
    <xf numFmtId="44" fontId="8" fillId="0" borderId="0" xfId="0" applyNumberFormat="1" applyFont="1"/>
    <xf numFmtId="164" fontId="8" fillId="0" borderId="0" xfId="0" applyNumberFormat="1" applyFont="1"/>
    <xf numFmtId="0" fontId="12" fillId="0" borderId="0" xfId="0" applyFont="1"/>
    <xf numFmtId="44" fontId="12" fillId="0" borderId="0" xfId="0" applyNumberFormat="1" applyFont="1"/>
    <xf numFmtId="0" fontId="13" fillId="0" borderId="1" xfId="0" applyFont="1" applyBorder="1" applyAlignment="1">
      <alignment horizontal="center" vertical="center" wrapText="1"/>
    </xf>
    <xf numFmtId="0" fontId="6" fillId="0" borderId="4" xfId="0" applyFont="1" applyBorder="1"/>
    <xf numFmtId="44" fontId="6" fillId="0" borderId="4" xfId="0" applyNumberFormat="1" applyFont="1" applyBorder="1"/>
    <xf numFmtId="0" fontId="6" fillId="3" borderId="4" xfId="0" applyFont="1" applyFill="1" applyBorder="1"/>
    <xf numFmtId="44" fontId="6" fillId="3" borderId="4" xfId="0" applyNumberFormat="1" applyFont="1" applyFill="1" applyBorder="1"/>
    <xf numFmtId="164" fontId="6" fillId="0" borderId="5" xfId="0" applyNumberFormat="1" applyFont="1" applyBorder="1"/>
    <xf numFmtId="0" fontId="6" fillId="0" borderId="5" xfId="0" applyFont="1" applyBorder="1"/>
    <xf numFmtId="0" fontId="6" fillId="0" borderId="2" xfId="0" applyFont="1" applyBorder="1" applyAlignment="1">
      <alignment vertical="center"/>
    </xf>
    <xf numFmtId="0" fontId="6" fillId="0" borderId="2" xfId="0" applyFont="1" applyBorder="1"/>
    <xf numFmtId="0" fontId="7" fillId="0" borderId="2" xfId="0" applyFont="1" applyBorder="1"/>
    <xf numFmtId="0" fontId="7" fillId="0" borderId="2" xfId="0" applyFont="1" applyBorder="1" applyAlignment="1">
      <alignment horizontal="center"/>
    </xf>
    <xf numFmtId="0" fontId="6" fillId="0" borderId="4" xfId="0" applyFont="1" applyBorder="1" applyAlignment="1">
      <alignment vertical="center"/>
    </xf>
    <xf numFmtId="0" fontId="8" fillId="0" borderId="4" xfId="0" applyFont="1" applyBorder="1"/>
    <xf numFmtId="166" fontId="6" fillId="0" borderId="4" xfId="0" applyNumberFormat="1" applyFont="1" applyBorder="1"/>
    <xf numFmtId="10" fontId="6" fillId="0" borderId="4" xfId="0" applyNumberFormat="1" applyFont="1" applyBorder="1"/>
    <xf numFmtId="0" fontId="9" fillId="0" borderId="4" xfId="0" applyFont="1" applyBorder="1" applyAlignment="1">
      <alignment vertical="center"/>
    </xf>
    <xf numFmtId="0" fontId="10" fillId="0" borderId="4" xfId="0" applyFont="1" applyBorder="1"/>
    <xf numFmtId="44" fontId="10" fillId="0" borderId="4" xfId="0" applyNumberFormat="1" applyFont="1" applyBorder="1"/>
    <xf numFmtId="44" fontId="6" fillId="0" borderId="5" xfId="0" applyNumberFormat="1" applyFont="1" applyBorder="1"/>
    <xf numFmtId="44" fontId="9" fillId="0" borderId="5" xfId="0" applyNumberFormat="1" applyFont="1" applyBorder="1"/>
    <xf numFmtId="0" fontId="9" fillId="0" borderId="3" xfId="0" applyFont="1" applyBorder="1" applyAlignment="1">
      <alignment vertical="center"/>
    </xf>
    <xf numFmtId="0" fontId="10" fillId="0" borderId="3" xfId="0" applyFont="1" applyBorder="1"/>
    <xf numFmtId="6" fontId="10" fillId="0" borderId="3" xfId="0" applyNumberFormat="1" applyFont="1" applyBorder="1"/>
    <xf numFmtId="0" fontId="5" fillId="0" borderId="1" xfId="8" applyBorder="1"/>
    <xf numFmtId="0" fontId="0" fillId="0" borderId="1" xfId="0" applyBorder="1"/>
    <xf numFmtId="0" fontId="5" fillId="0" borderId="0" xfId="8"/>
    <xf numFmtId="165" fontId="0" fillId="0" borderId="1" xfId="0" applyNumberFormat="1" applyBorder="1"/>
    <xf numFmtId="0" fontId="15" fillId="0" borderId="0" xfId="0" applyFont="1"/>
    <xf numFmtId="0" fontId="13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vertical="center"/>
    </xf>
    <xf numFmtId="0" fontId="6" fillId="4" borderId="1" xfId="0" applyFont="1" applyFill="1" applyBorder="1"/>
    <xf numFmtId="0" fontId="7" fillId="4" borderId="1" xfId="0" applyFont="1" applyFill="1" applyBorder="1" applyAlignment="1">
      <alignment horizontal="center"/>
    </xf>
    <xf numFmtId="165" fontId="6" fillId="0" borderId="1" xfId="0" applyNumberFormat="1" applyFont="1" applyBorder="1"/>
    <xf numFmtId="0" fontId="14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vertical="center" wrapText="1"/>
    </xf>
    <xf numFmtId="164" fontId="6" fillId="0" borderId="6" xfId="0" applyNumberFormat="1" applyFont="1" applyBorder="1" applyAlignment="1">
      <alignment horizontal="left" vertical="center"/>
    </xf>
    <xf numFmtId="164" fontId="6" fillId="0" borderId="7" xfId="0" applyNumberFormat="1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165" fontId="6" fillId="0" borderId="9" xfId="0" applyNumberFormat="1" applyFont="1" applyBorder="1" applyAlignment="1">
      <alignment horizontal="center" vertical="center"/>
    </xf>
    <xf numFmtId="165" fontId="6" fillId="0" borderId="10" xfId="0" applyNumberFormat="1" applyFont="1" applyBorder="1" applyAlignment="1">
      <alignment horizontal="center" vertical="center"/>
    </xf>
    <xf numFmtId="165" fontId="6" fillId="0" borderId="11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44" fontId="6" fillId="0" borderId="4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165" fontId="6" fillId="0" borderId="2" xfId="0" applyNumberFormat="1" applyFont="1" applyBorder="1" applyAlignment="1">
      <alignment horizontal="center" vertical="center"/>
    </xf>
    <xf numFmtId="165" fontId="6" fillId="0" borderId="8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5" fillId="0" borderId="2" xfId="8" applyBorder="1" applyAlignment="1">
      <alignment horizontal="left"/>
    </xf>
    <xf numFmtId="0" fontId="5" fillId="0" borderId="8" xfId="8" applyBorder="1" applyAlignment="1">
      <alignment horizontal="left"/>
    </xf>
    <xf numFmtId="0" fontId="5" fillId="0" borderId="3" xfId="8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23">
    <cellStyle name="Comma 2" xfId="13" xr:uid="{8065C5DB-13E3-45B3-AC82-F54A7A4BF07D}"/>
    <cellStyle name="Comma 3" xfId="5" xr:uid="{9D074554-A9A3-4C8C-A8E6-0D756EBE3CCF}"/>
    <cellStyle name="Comma 3 2" xfId="16" xr:uid="{06076A42-5619-4DC8-8C19-FFACAF134D4F}"/>
    <cellStyle name="Comma 4" xfId="18" xr:uid="{DCA7FC6C-B4D5-41A7-80DF-3159D2DED457}"/>
    <cellStyle name="Excel Built-in Normal" xfId="1" xr:uid="{1F30EB29-21AF-41F5-ACF1-1A48F1F1121B}"/>
    <cellStyle name="Excel Built-in Normal 2" xfId="10" xr:uid="{5706D5D6-7D72-4EE2-85C2-742535654836}"/>
    <cellStyle name="Excel Built-in Normal_Data Sizing" xfId="12" xr:uid="{3D585EEE-C90B-4B29-879F-EDFC9CF8CEFF}"/>
    <cellStyle name="Hyperlink" xfId="8" builtinId="8"/>
    <cellStyle name="Hyperlink 2" xfId="15" xr:uid="{47BB4E82-1466-4696-BC11-AB9EF6BE6541}"/>
    <cellStyle name="Normal" xfId="0" builtinId="0"/>
    <cellStyle name="Normal 2" xfId="4" xr:uid="{EB851357-EF43-420F-93B8-A019AC0E5643}"/>
    <cellStyle name="Normal 2 2" xfId="20" xr:uid="{4209E909-631C-42B9-B554-1BF19F6A52D4}"/>
    <cellStyle name="Normal 2 3" xfId="14" xr:uid="{10EA3309-3B12-4F62-8405-6978EC991F72}"/>
    <cellStyle name="Normal 2 4" xfId="3" xr:uid="{929E8759-AC2A-4690-A1F3-CD6061B6007F}"/>
    <cellStyle name="Normal 3" xfId="11" xr:uid="{4EB7F19A-64D9-4635-9202-FED7D0B845D6}"/>
    <cellStyle name="Normal 3 3" xfId="2" xr:uid="{EBA9C713-241A-4BD5-8549-6380E0B7BC04}"/>
    <cellStyle name="Normal 3 3 2" xfId="22" xr:uid="{DC3B5B0E-DA0A-4D85-9DCC-D260FD6B1F0D}"/>
    <cellStyle name="Normal 4" xfId="17" xr:uid="{2466C47F-06C0-4B55-9CC1-E002606B33C3}"/>
    <cellStyle name="Normal 5" xfId="9" xr:uid="{997EDB7B-BA45-4971-9712-67D024F52672}"/>
    <cellStyle name="Percent 2" xfId="6" xr:uid="{1FEA3B47-C027-4A5C-BEA2-D7E4267ADA5F}"/>
    <cellStyle name="Percent 2 2" xfId="7" xr:uid="{34D90583-8E75-4974-B3EB-F9CA2CB40C74}"/>
    <cellStyle name="Percent 3" xfId="19" xr:uid="{9910249A-079F-4CA5-9C7D-0EA0136F9906}"/>
    <cellStyle name="Percent 4" xfId="21" xr:uid="{2F03CFA1-D85E-4D85-95CE-F500F2920B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calculator.aws/" TargetMode="External"/><Relationship Id="rId1" Type="http://schemas.openxmlformats.org/officeDocument/2006/relationships/hyperlink" Target="https://calculator.aw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B8411-8531-4CA2-BA03-A4719BCBC402}">
  <dimension ref="B2:G41"/>
  <sheetViews>
    <sheetView topLeftCell="A13" zoomScale="80" zoomScaleNormal="80" workbookViewId="0">
      <selection activeCell="B2" sqref="B2:F31"/>
    </sheetView>
  </sheetViews>
  <sheetFormatPr defaultColWidth="9.140625" defaultRowHeight="15.6"/>
  <cols>
    <col min="1" max="1" width="9.140625" style="2"/>
    <col min="2" max="2" width="14.42578125" style="11" bestFit="1" customWidth="1"/>
    <col min="3" max="3" width="59.85546875" style="2" bestFit="1" customWidth="1"/>
    <col min="4" max="4" width="18.5703125" style="2" bestFit="1" customWidth="1"/>
    <col min="5" max="5" width="21" style="2" customWidth="1"/>
    <col min="6" max="6" width="24.85546875" style="2" bestFit="1" customWidth="1"/>
    <col min="7" max="7" width="13.5703125" style="2" bestFit="1" customWidth="1"/>
    <col min="8" max="8" width="9.140625" style="2"/>
    <col min="9" max="9" width="12.5703125" style="2" bestFit="1" customWidth="1"/>
    <col min="10" max="10" width="9.140625" style="2"/>
    <col min="11" max="11" width="15.42578125" style="2" bestFit="1" customWidth="1"/>
    <col min="12" max="16384" width="9.140625" style="2"/>
  </cols>
  <sheetData>
    <row r="2" spans="2:7">
      <c r="B2" s="47"/>
      <c r="C2" s="48"/>
      <c r="D2" s="49" t="s">
        <v>0</v>
      </c>
      <c r="E2" s="49" t="s">
        <v>1</v>
      </c>
      <c r="F2" s="48"/>
    </row>
    <row r="3" spans="2:7">
      <c r="B3" s="25"/>
      <c r="C3" s="26"/>
      <c r="D3" s="27"/>
      <c r="E3" s="28"/>
      <c r="F3" s="1" t="s">
        <v>2</v>
      </c>
    </row>
    <row r="4" spans="2:7">
      <c r="B4" s="55" t="s">
        <v>3</v>
      </c>
      <c r="C4" s="19" t="s">
        <v>4</v>
      </c>
      <c r="D4" s="20"/>
      <c r="E4" s="50">
        <v>9854.09</v>
      </c>
      <c r="F4" s="23"/>
      <c r="G4" s="3"/>
    </row>
    <row r="5" spans="2:7">
      <c r="B5" s="55"/>
      <c r="C5" s="19" t="s">
        <v>5</v>
      </c>
      <c r="D5" s="20"/>
      <c r="E5" s="56">
        <f>FiveYearsAWSPricing!E8</f>
        <v>4408.38</v>
      </c>
      <c r="F5" s="23"/>
      <c r="G5" s="3"/>
    </row>
    <row r="6" spans="2:7">
      <c r="B6" s="55"/>
      <c r="C6" s="19" t="s">
        <v>6</v>
      </c>
      <c r="D6" s="20"/>
      <c r="E6" s="57"/>
      <c r="F6" s="24"/>
      <c r="G6" s="3"/>
    </row>
    <row r="7" spans="2:7">
      <c r="B7" s="55"/>
      <c r="C7" s="19" t="s">
        <v>7</v>
      </c>
      <c r="D7" s="20"/>
      <c r="E7" s="58"/>
      <c r="F7" s="23"/>
      <c r="G7" s="3"/>
    </row>
    <row r="8" spans="2:7">
      <c r="B8" s="55"/>
      <c r="C8" s="19" t="s">
        <v>8</v>
      </c>
      <c r="D8" s="20">
        <v>5000</v>
      </c>
      <c r="E8" s="20"/>
      <c r="F8" s="23"/>
      <c r="G8" s="3"/>
    </row>
    <row r="9" spans="2:7">
      <c r="B9" s="55"/>
      <c r="C9" s="21" t="s">
        <v>9</v>
      </c>
      <c r="D9" s="22">
        <v>5000</v>
      </c>
      <c r="E9" s="20"/>
      <c r="F9" s="23" t="s">
        <v>10</v>
      </c>
      <c r="G9" s="3"/>
    </row>
    <row r="10" spans="2:7">
      <c r="B10" s="55" t="s">
        <v>11</v>
      </c>
      <c r="C10" s="59" t="s">
        <v>12</v>
      </c>
      <c r="D10" s="20"/>
      <c r="E10" s="20">
        <v>500</v>
      </c>
      <c r="F10" s="23" t="s">
        <v>13</v>
      </c>
      <c r="G10" s="3"/>
    </row>
    <row r="11" spans="2:7">
      <c r="B11" s="55"/>
      <c r="C11" s="59"/>
      <c r="D11" s="20"/>
      <c r="E11" s="20">
        <f>15*30000/90/12</f>
        <v>416.66666666666669</v>
      </c>
      <c r="F11" s="23" t="s">
        <v>14</v>
      </c>
      <c r="G11" s="3"/>
    </row>
    <row r="12" spans="2:7">
      <c r="B12" s="55"/>
      <c r="C12" s="19" t="s">
        <v>15</v>
      </c>
      <c r="D12" s="20"/>
      <c r="E12" s="20">
        <f>15*2600/90/12</f>
        <v>36.111111111111107</v>
      </c>
      <c r="F12" s="23" t="s">
        <v>16</v>
      </c>
      <c r="G12" s="3"/>
    </row>
    <row r="13" spans="2:7">
      <c r="B13" s="55"/>
      <c r="C13" s="19" t="s">
        <v>17</v>
      </c>
      <c r="D13" s="20"/>
      <c r="E13" s="60">
        <f>15*4000/90/12</f>
        <v>55.55555555555555</v>
      </c>
      <c r="F13" s="53" t="s">
        <v>18</v>
      </c>
      <c r="G13" s="3"/>
    </row>
    <row r="14" spans="2:7">
      <c r="B14" s="55"/>
      <c r="C14" s="19" t="s">
        <v>19</v>
      </c>
      <c r="D14" s="20"/>
      <c r="E14" s="60"/>
      <c r="F14" s="54"/>
      <c r="G14" s="3"/>
    </row>
    <row r="15" spans="2:7">
      <c r="B15" s="29"/>
      <c r="C15" s="19"/>
      <c r="D15" s="20"/>
      <c r="E15" s="20"/>
      <c r="F15" s="36"/>
      <c r="G15" s="3"/>
    </row>
    <row r="16" spans="2:7">
      <c r="B16" s="29"/>
      <c r="C16" s="19" t="s">
        <v>20</v>
      </c>
      <c r="D16" s="20"/>
      <c r="E16" s="20">
        <f>SUM(E4:E15)</f>
        <v>15270.803333333333</v>
      </c>
      <c r="F16" s="36"/>
    </row>
    <row r="17" spans="2:7">
      <c r="B17" s="29"/>
      <c r="C17" s="19"/>
      <c r="D17" s="20"/>
      <c r="E17" s="19"/>
      <c r="F17" s="36"/>
    </row>
    <row r="18" spans="2:7">
      <c r="B18" s="29"/>
      <c r="C18" s="19" t="s">
        <v>21</v>
      </c>
      <c r="D18" s="20"/>
      <c r="E18" s="20">
        <f>SUM(E4:E7,E10)*4%</f>
        <v>590.49880000000007</v>
      </c>
      <c r="F18" s="36"/>
    </row>
    <row r="19" spans="2:7">
      <c r="B19" s="29"/>
      <c r="C19" s="19"/>
      <c r="D19" s="20"/>
      <c r="E19" s="20"/>
      <c r="F19" s="36"/>
    </row>
    <row r="20" spans="2:7">
      <c r="B20" s="29"/>
      <c r="C20" s="19" t="s">
        <v>22</v>
      </c>
      <c r="D20" s="20">
        <f>SUM(D3:D19)</f>
        <v>10000</v>
      </c>
      <c r="E20" s="20">
        <f>SUM(E16:E19)*12</f>
        <v>190335.6256</v>
      </c>
      <c r="F20" s="24"/>
    </row>
    <row r="21" spans="2:7">
      <c r="B21" s="29"/>
      <c r="C21" s="19" t="s">
        <v>23</v>
      </c>
      <c r="D21" s="19"/>
      <c r="E21" s="20">
        <f>E20*5%</f>
        <v>9516.7812800000011</v>
      </c>
      <c r="F21" s="24"/>
    </row>
    <row r="22" spans="2:7">
      <c r="B22" s="29"/>
      <c r="C22" s="30" t="s">
        <v>24</v>
      </c>
      <c r="D22" s="20">
        <f>(D20+D21)</f>
        <v>10000</v>
      </c>
      <c r="E22" s="20">
        <f>(E20+E21)</f>
        <v>199852.40687999999</v>
      </c>
      <c r="F22" s="24"/>
    </row>
    <row r="23" spans="2:7">
      <c r="B23" s="29"/>
      <c r="C23" s="30"/>
      <c r="D23" s="31"/>
      <c r="E23" s="31"/>
      <c r="F23" s="24"/>
    </row>
    <row r="24" spans="2:7">
      <c r="B24" s="29"/>
      <c r="C24" s="19" t="s">
        <v>25</v>
      </c>
      <c r="D24" s="20">
        <f>D22*10%</f>
        <v>1000</v>
      </c>
      <c r="E24" s="20">
        <f>E22*30%</f>
        <v>59955.722063999994</v>
      </c>
      <c r="F24" s="24"/>
    </row>
    <row r="25" spans="2:7">
      <c r="B25" s="29"/>
      <c r="C25" s="30" t="s">
        <v>26</v>
      </c>
      <c r="D25" s="20">
        <f>(D22+D24)</f>
        <v>11000</v>
      </c>
      <c r="E25" s="20">
        <f>(E22+E24)</f>
        <v>259808.128944</v>
      </c>
      <c r="F25" s="24"/>
    </row>
    <row r="26" spans="2:7">
      <c r="B26" s="29"/>
      <c r="C26" s="30" t="s">
        <v>27</v>
      </c>
      <c r="D26" s="30"/>
      <c r="E26" s="32">
        <v>0.11</v>
      </c>
      <c r="F26" s="24"/>
    </row>
    <row r="27" spans="2:7">
      <c r="B27" s="33"/>
      <c r="C27" s="34" t="s">
        <v>28</v>
      </c>
      <c r="D27" s="35">
        <f>D25</f>
        <v>11000</v>
      </c>
      <c r="E27" s="20">
        <f>0.89*E25</f>
        <v>231229.23476016</v>
      </c>
      <c r="F27" s="37"/>
      <c r="G27" s="8"/>
    </row>
    <row r="28" spans="2:7">
      <c r="B28" s="38"/>
      <c r="C28" s="39"/>
      <c r="D28" s="39"/>
      <c r="E28" s="40"/>
      <c r="F28" s="7"/>
      <c r="G28" s="8"/>
    </row>
    <row r="29" spans="2:7">
      <c r="B29" s="4"/>
      <c r="C29" s="5" t="s">
        <v>29</v>
      </c>
      <c r="D29" s="5"/>
      <c r="E29" s="9">
        <v>8500</v>
      </c>
      <c r="F29" s="7"/>
    </row>
    <row r="30" spans="2:7">
      <c r="B30" s="4"/>
      <c r="C30" s="5"/>
      <c r="D30" s="5"/>
      <c r="E30" s="6"/>
      <c r="F30" s="7"/>
      <c r="G30" s="3"/>
    </row>
    <row r="31" spans="2:7">
      <c r="B31" s="4"/>
      <c r="C31" s="10" t="s">
        <v>30</v>
      </c>
      <c r="D31" s="10"/>
      <c r="E31" s="7">
        <f>E27/E29/12</f>
        <v>2.266953281962353</v>
      </c>
      <c r="F31" s="7"/>
    </row>
    <row r="32" spans="2:7">
      <c r="C32" s="12"/>
      <c r="D32" s="12"/>
      <c r="E32" s="13"/>
      <c r="F32" s="13"/>
      <c r="G32" s="3"/>
    </row>
    <row r="33" spans="3:6">
      <c r="C33" s="12"/>
      <c r="D33" s="12"/>
      <c r="E33" s="13"/>
      <c r="F33" s="13"/>
    </row>
    <row r="34" spans="3:6">
      <c r="E34" s="13"/>
      <c r="F34" s="13"/>
    </row>
    <row r="35" spans="3:6">
      <c r="C35" s="12"/>
      <c r="D35" s="12"/>
      <c r="E35" s="14"/>
      <c r="F35" s="13"/>
    </row>
    <row r="36" spans="3:6">
      <c r="C36" s="12"/>
      <c r="D36" s="12"/>
      <c r="E36" s="14"/>
      <c r="F36" s="13"/>
    </row>
    <row r="37" spans="3:6">
      <c r="C37" s="12"/>
      <c r="D37" s="12"/>
      <c r="E37" s="15"/>
      <c r="F37" s="13"/>
    </row>
    <row r="38" spans="3:6">
      <c r="C38" s="16"/>
      <c r="D38" s="16"/>
      <c r="E38" s="17"/>
      <c r="F38" s="13"/>
    </row>
    <row r="39" spans="3:6">
      <c r="E39" s="3"/>
      <c r="F39" s="13"/>
    </row>
    <row r="40" spans="3:6">
      <c r="F40" s="13"/>
    </row>
    <row r="41" spans="3:6">
      <c r="E41" s="13"/>
      <c r="F41" s="13"/>
    </row>
  </sheetData>
  <protectedRanges>
    <protectedRange sqref="E29" name="Volumes"/>
  </protectedRanges>
  <mergeCells count="6">
    <mergeCell ref="F13:F14"/>
    <mergeCell ref="B4:B9"/>
    <mergeCell ref="E5:E7"/>
    <mergeCell ref="B10:B14"/>
    <mergeCell ref="C10:C11"/>
    <mergeCell ref="E13:E1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8DD18-C082-481B-8978-D8D3B8FCD29C}">
  <dimension ref="B2:G42"/>
  <sheetViews>
    <sheetView zoomScale="80" zoomScaleNormal="80" workbookViewId="0">
      <selection activeCell="B2" sqref="B2:F32"/>
    </sheetView>
  </sheetViews>
  <sheetFormatPr defaultColWidth="9.140625" defaultRowHeight="15.6"/>
  <cols>
    <col min="1" max="1" width="9.140625" style="2"/>
    <col min="2" max="2" width="14.42578125" style="11" bestFit="1" customWidth="1"/>
    <col min="3" max="3" width="59.85546875" style="2" bestFit="1" customWidth="1"/>
    <col min="4" max="4" width="18.5703125" style="2" bestFit="1" customWidth="1"/>
    <col min="5" max="5" width="21" style="2" customWidth="1"/>
    <col min="6" max="6" width="24.85546875" style="2" bestFit="1" customWidth="1"/>
    <col min="7" max="7" width="13.5703125" style="2" bestFit="1" customWidth="1"/>
    <col min="8" max="8" width="9.140625" style="2"/>
    <col min="9" max="9" width="12.5703125" style="2" bestFit="1" customWidth="1"/>
    <col min="10" max="10" width="9.140625" style="2"/>
    <col min="11" max="11" width="15.42578125" style="2" bestFit="1" customWidth="1"/>
    <col min="12" max="16384" width="9.140625" style="2"/>
  </cols>
  <sheetData>
    <row r="2" spans="2:7">
      <c r="B2" s="47"/>
      <c r="C2" s="48"/>
      <c r="D2" s="49" t="s">
        <v>0</v>
      </c>
      <c r="E2" s="49" t="s">
        <v>1</v>
      </c>
      <c r="F2" s="48"/>
    </row>
    <row r="3" spans="2:7">
      <c r="B3" s="25"/>
      <c r="C3" s="26"/>
      <c r="D3" s="27"/>
      <c r="E3" s="28"/>
      <c r="F3" s="1" t="s">
        <v>2</v>
      </c>
    </row>
    <row r="4" spans="2:7">
      <c r="B4" s="55" t="s">
        <v>3</v>
      </c>
      <c r="C4" s="19" t="s">
        <v>4</v>
      </c>
      <c r="D4" s="20"/>
      <c r="E4" s="50">
        <f>FiveYearsAWSPricing!E2</f>
        <v>9598.09</v>
      </c>
      <c r="F4" s="23"/>
      <c r="G4" s="3"/>
    </row>
    <row r="5" spans="2:7">
      <c r="B5" s="55"/>
      <c r="C5" s="19" t="s">
        <v>31</v>
      </c>
      <c r="D5" s="20"/>
      <c r="E5" s="50">
        <f>FiveYearsAWSPricing!E7</f>
        <v>8286.82</v>
      </c>
      <c r="F5" s="23"/>
      <c r="G5" s="3"/>
    </row>
    <row r="6" spans="2:7">
      <c r="B6" s="55"/>
      <c r="C6" s="19" t="s">
        <v>5</v>
      </c>
      <c r="D6" s="20"/>
      <c r="E6" s="56">
        <f>FiveYearsAWSPricing!E8</f>
        <v>4408.38</v>
      </c>
      <c r="F6" s="23"/>
      <c r="G6" s="3"/>
    </row>
    <row r="7" spans="2:7">
      <c r="B7" s="55"/>
      <c r="C7" s="19" t="s">
        <v>6</v>
      </c>
      <c r="D7" s="20"/>
      <c r="E7" s="57"/>
      <c r="F7" s="24"/>
      <c r="G7" s="3"/>
    </row>
    <row r="8" spans="2:7">
      <c r="B8" s="55"/>
      <c r="C8" s="19" t="s">
        <v>7</v>
      </c>
      <c r="D8" s="20"/>
      <c r="E8" s="58"/>
      <c r="F8" s="23"/>
      <c r="G8" s="3"/>
    </row>
    <row r="9" spans="2:7">
      <c r="B9" s="55"/>
      <c r="C9" s="19" t="s">
        <v>8</v>
      </c>
      <c r="D9" s="20">
        <v>5000</v>
      </c>
      <c r="E9" s="20"/>
      <c r="F9" s="23"/>
      <c r="G9" s="3"/>
    </row>
    <row r="10" spans="2:7">
      <c r="B10" s="55"/>
      <c r="C10" s="21" t="s">
        <v>9</v>
      </c>
      <c r="D10" s="22">
        <v>5000</v>
      </c>
      <c r="E10" s="20"/>
      <c r="F10" s="23" t="s">
        <v>10</v>
      </c>
      <c r="G10" s="3"/>
    </row>
    <row r="11" spans="2:7">
      <c r="B11" s="55" t="s">
        <v>11</v>
      </c>
      <c r="C11" s="59" t="s">
        <v>12</v>
      </c>
      <c r="D11" s="20"/>
      <c r="E11" s="20">
        <v>500</v>
      </c>
      <c r="F11" s="23" t="s">
        <v>13</v>
      </c>
      <c r="G11" s="3"/>
    </row>
    <row r="12" spans="2:7">
      <c r="B12" s="55"/>
      <c r="C12" s="59"/>
      <c r="D12" s="20"/>
      <c r="E12" s="20">
        <f>15*30000/90/12</f>
        <v>416.66666666666669</v>
      </c>
      <c r="F12" s="23" t="s">
        <v>14</v>
      </c>
      <c r="G12" s="3"/>
    </row>
    <row r="13" spans="2:7">
      <c r="B13" s="55"/>
      <c r="C13" s="19" t="s">
        <v>15</v>
      </c>
      <c r="D13" s="20"/>
      <c r="E13" s="20">
        <f>15*2600/90/12</f>
        <v>36.111111111111107</v>
      </c>
      <c r="F13" s="23" t="s">
        <v>16</v>
      </c>
      <c r="G13" s="3"/>
    </row>
    <row r="14" spans="2:7">
      <c r="B14" s="55"/>
      <c r="C14" s="19" t="s">
        <v>17</v>
      </c>
      <c r="D14" s="20"/>
      <c r="E14" s="60">
        <f>15*4000/90/12</f>
        <v>55.55555555555555</v>
      </c>
      <c r="F14" s="53" t="s">
        <v>18</v>
      </c>
      <c r="G14" s="3"/>
    </row>
    <row r="15" spans="2:7">
      <c r="B15" s="55"/>
      <c r="C15" s="19" t="s">
        <v>19</v>
      </c>
      <c r="D15" s="20"/>
      <c r="E15" s="60"/>
      <c r="F15" s="54"/>
      <c r="G15" s="3"/>
    </row>
    <row r="16" spans="2:7">
      <c r="B16" s="29"/>
      <c r="C16" s="19"/>
      <c r="D16" s="20"/>
      <c r="E16" s="20"/>
      <c r="F16" s="36"/>
      <c r="G16" s="3"/>
    </row>
    <row r="17" spans="2:7">
      <c r="B17" s="29"/>
      <c r="C17" s="19" t="s">
        <v>20</v>
      </c>
      <c r="D17" s="20"/>
      <c r="E17" s="20">
        <f>SUM(E4:E16)</f>
        <v>23301.623333333333</v>
      </c>
      <c r="F17" s="36"/>
    </row>
    <row r="18" spans="2:7">
      <c r="B18" s="29"/>
      <c r="C18" s="19"/>
      <c r="D18" s="20"/>
      <c r="E18" s="19"/>
      <c r="F18" s="36"/>
    </row>
    <row r="19" spans="2:7">
      <c r="B19" s="29"/>
      <c r="C19" s="19" t="s">
        <v>21</v>
      </c>
      <c r="D19" s="20"/>
      <c r="E19" s="20">
        <f>SUM(E4:E8,E11)*4%</f>
        <v>911.73160000000007</v>
      </c>
      <c r="F19" s="36"/>
    </row>
    <row r="20" spans="2:7">
      <c r="B20" s="29"/>
      <c r="C20" s="19"/>
      <c r="D20" s="20"/>
      <c r="E20" s="20"/>
      <c r="F20" s="36"/>
    </row>
    <row r="21" spans="2:7">
      <c r="B21" s="29"/>
      <c r="C21" s="19" t="s">
        <v>22</v>
      </c>
      <c r="D21" s="20">
        <f>SUM(D3:D20)</f>
        <v>10000</v>
      </c>
      <c r="E21" s="20">
        <f>SUM(E17:E20)*12</f>
        <v>290560.25919999997</v>
      </c>
      <c r="F21" s="24"/>
    </row>
    <row r="22" spans="2:7">
      <c r="B22" s="29"/>
      <c r="C22" s="19" t="s">
        <v>23</v>
      </c>
      <c r="D22" s="19"/>
      <c r="E22" s="20">
        <f>E21*5%</f>
        <v>14528.01296</v>
      </c>
      <c r="F22" s="24"/>
    </row>
    <row r="23" spans="2:7">
      <c r="B23" s="29"/>
      <c r="C23" s="30" t="s">
        <v>24</v>
      </c>
      <c r="D23" s="20">
        <f>(D21+D22)</f>
        <v>10000</v>
      </c>
      <c r="E23" s="20">
        <f>(E21+E22)</f>
        <v>305088.27215999999</v>
      </c>
      <c r="F23" s="24"/>
    </row>
    <row r="24" spans="2:7">
      <c r="B24" s="29"/>
      <c r="C24" s="30"/>
      <c r="D24" s="31"/>
      <c r="E24" s="31"/>
      <c r="F24" s="24"/>
    </row>
    <row r="25" spans="2:7">
      <c r="B25" s="29"/>
      <c r="C25" s="19" t="s">
        <v>25</v>
      </c>
      <c r="D25" s="20">
        <f>D23*10%</f>
        <v>1000</v>
      </c>
      <c r="E25" s="20">
        <f>E23*30%</f>
        <v>91526.481648000001</v>
      </c>
      <c r="F25" s="24"/>
    </row>
    <row r="26" spans="2:7">
      <c r="B26" s="29"/>
      <c r="C26" s="30" t="s">
        <v>26</v>
      </c>
      <c r="D26" s="20">
        <f>(D23+D25)</f>
        <v>11000</v>
      </c>
      <c r="E26" s="20">
        <f>(E23+E25)</f>
        <v>396614.75380800001</v>
      </c>
      <c r="F26" s="24"/>
    </row>
    <row r="27" spans="2:7">
      <c r="B27" s="29"/>
      <c r="C27" s="30" t="s">
        <v>27</v>
      </c>
      <c r="D27" s="30"/>
      <c r="E27" s="32">
        <v>0.11</v>
      </c>
      <c r="F27" s="24"/>
    </row>
    <row r="28" spans="2:7">
      <c r="B28" s="33"/>
      <c r="C28" s="34" t="s">
        <v>28</v>
      </c>
      <c r="D28" s="35">
        <f>D26</f>
        <v>11000</v>
      </c>
      <c r="E28" s="20">
        <f>0.89*E26</f>
        <v>352987.13088911999</v>
      </c>
      <c r="F28" s="37"/>
      <c r="G28" s="8"/>
    </row>
    <row r="29" spans="2:7">
      <c r="B29" s="38"/>
      <c r="C29" s="39"/>
      <c r="D29" s="39"/>
      <c r="E29" s="40"/>
      <c r="F29" s="7"/>
      <c r="G29" s="8"/>
    </row>
    <row r="30" spans="2:7">
      <c r="B30" s="4"/>
      <c r="C30" s="5" t="s">
        <v>29</v>
      </c>
      <c r="D30" s="5"/>
      <c r="E30" s="9">
        <v>8500</v>
      </c>
      <c r="F30" s="7"/>
    </row>
    <row r="31" spans="2:7">
      <c r="B31" s="4"/>
      <c r="C31" s="5"/>
      <c r="D31" s="5"/>
      <c r="E31" s="6"/>
      <c r="F31" s="7"/>
      <c r="G31" s="3"/>
    </row>
    <row r="32" spans="2:7">
      <c r="B32" s="4"/>
      <c r="C32" s="10" t="s">
        <v>30</v>
      </c>
      <c r="D32" s="10"/>
      <c r="E32" s="7">
        <f>E28/E30/12</f>
        <v>3.4606581459717645</v>
      </c>
      <c r="F32" s="7"/>
    </row>
    <row r="33" spans="3:7">
      <c r="C33" s="12"/>
      <c r="D33" s="12"/>
      <c r="E33" s="13"/>
      <c r="F33" s="13"/>
      <c r="G33" s="3"/>
    </row>
    <row r="34" spans="3:7">
      <c r="C34" s="12"/>
      <c r="D34" s="12"/>
      <c r="E34" s="13"/>
      <c r="F34" s="13"/>
    </row>
    <row r="35" spans="3:7">
      <c r="E35" s="13"/>
      <c r="F35" s="13"/>
    </row>
    <row r="36" spans="3:7">
      <c r="C36" s="12"/>
      <c r="D36" s="12"/>
      <c r="E36" s="14"/>
      <c r="F36" s="13"/>
    </row>
    <row r="37" spans="3:7">
      <c r="C37" s="12"/>
      <c r="D37" s="12"/>
      <c r="E37" s="14"/>
      <c r="F37" s="13"/>
    </row>
    <row r="38" spans="3:7">
      <c r="C38" s="12"/>
      <c r="D38" s="12"/>
      <c r="E38" s="15"/>
      <c r="F38" s="13"/>
    </row>
    <row r="39" spans="3:7">
      <c r="C39" s="16"/>
      <c r="D39" s="16"/>
      <c r="E39" s="17"/>
      <c r="F39" s="13"/>
    </row>
    <row r="40" spans="3:7">
      <c r="E40" s="3"/>
      <c r="F40" s="13"/>
    </row>
    <row r="41" spans="3:7">
      <c r="F41" s="13"/>
    </row>
    <row r="42" spans="3:7">
      <c r="E42" s="13"/>
      <c r="F42" s="13"/>
    </row>
  </sheetData>
  <protectedRanges>
    <protectedRange sqref="E30" name="Volumes"/>
  </protectedRanges>
  <mergeCells count="6">
    <mergeCell ref="F14:F15"/>
    <mergeCell ref="B4:B10"/>
    <mergeCell ref="E14:E15"/>
    <mergeCell ref="C11:C12"/>
    <mergeCell ref="B11:B15"/>
    <mergeCell ref="E6:E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5B501-993D-4AC5-887F-4F8DBB024F3B}">
  <dimension ref="B2:G40"/>
  <sheetViews>
    <sheetView zoomScale="80" zoomScaleNormal="80" workbookViewId="0">
      <selection activeCell="I16" sqref="I16"/>
    </sheetView>
  </sheetViews>
  <sheetFormatPr defaultColWidth="9.140625" defaultRowHeight="15.6"/>
  <cols>
    <col min="1" max="1" width="9.140625" style="2"/>
    <col min="2" max="2" width="14.42578125" style="11" bestFit="1" customWidth="1"/>
    <col min="3" max="3" width="59.85546875" style="2" bestFit="1" customWidth="1"/>
    <col min="4" max="4" width="18.5703125" style="2" bestFit="1" customWidth="1"/>
    <col min="5" max="5" width="21" style="2" customWidth="1"/>
    <col min="6" max="6" width="24.85546875" style="2" bestFit="1" customWidth="1"/>
    <col min="7" max="7" width="13.5703125" style="2" bestFit="1" customWidth="1"/>
    <col min="8" max="8" width="9.140625" style="2"/>
    <col min="9" max="9" width="12.5703125" style="2" bestFit="1" customWidth="1"/>
    <col min="10" max="10" width="9.140625" style="2"/>
    <col min="11" max="11" width="15.42578125" style="2" bestFit="1" customWidth="1"/>
    <col min="12" max="16384" width="9.140625" style="2"/>
  </cols>
  <sheetData>
    <row r="2" spans="2:7">
      <c r="B2" s="47"/>
      <c r="C2" s="48"/>
      <c r="D2" s="49" t="s">
        <v>0</v>
      </c>
      <c r="E2" s="49" t="s">
        <v>1</v>
      </c>
      <c r="F2" s="48"/>
    </row>
    <row r="3" spans="2:7">
      <c r="B3" s="25"/>
      <c r="C3" s="26"/>
      <c r="D3" s="27"/>
      <c r="E3" s="28"/>
      <c r="F3" s="1" t="s">
        <v>2</v>
      </c>
    </row>
    <row r="4" spans="2:7">
      <c r="B4" s="55" t="s">
        <v>3</v>
      </c>
      <c r="C4" s="19" t="s">
        <v>4</v>
      </c>
      <c r="D4" s="20"/>
      <c r="E4" s="50">
        <f>FiveYearsAWSPricing!E3</f>
        <v>10415.75</v>
      </c>
      <c r="F4" s="23"/>
      <c r="G4" s="3"/>
    </row>
    <row r="5" spans="2:7">
      <c r="B5" s="55"/>
      <c r="C5" s="19" t="s">
        <v>31</v>
      </c>
      <c r="D5" s="20"/>
      <c r="E5" s="50">
        <f>FiveYearsAWSPricing!E7</f>
        <v>8286.82</v>
      </c>
      <c r="F5" s="23"/>
      <c r="G5" s="3"/>
    </row>
    <row r="6" spans="2:7">
      <c r="B6" s="55"/>
      <c r="C6" s="19" t="s">
        <v>5</v>
      </c>
      <c r="D6" s="20"/>
      <c r="E6" s="56">
        <f>FiveYearsAWSPricing!E8</f>
        <v>4408.38</v>
      </c>
      <c r="F6" s="23"/>
      <c r="G6" s="3"/>
    </row>
    <row r="7" spans="2:7">
      <c r="B7" s="55"/>
      <c r="C7" s="19" t="s">
        <v>6</v>
      </c>
      <c r="D7" s="20"/>
      <c r="E7" s="57"/>
      <c r="F7" s="24"/>
      <c r="G7" s="3"/>
    </row>
    <row r="8" spans="2:7">
      <c r="B8" s="55"/>
      <c r="C8" s="19" t="s">
        <v>7</v>
      </c>
      <c r="D8" s="20"/>
      <c r="E8" s="58"/>
      <c r="F8" s="23"/>
      <c r="G8" s="3"/>
    </row>
    <row r="9" spans="2:7">
      <c r="B9" s="55" t="s">
        <v>11</v>
      </c>
      <c r="C9" s="59" t="s">
        <v>12</v>
      </c>
      <c r="D9" s="20"/>
      <c r="E9" s="20">
        <v>500</v>
      </c>
      <c r="F9" s="23" t="s">
        <v>13</v>
      </c>
      <c r="G9" s="3"/>
    </row>
    <row r="10" spans="2:7">
      <c r="B10" s="55"/>
      <c r="C10" s="59"/>
      <c r="D10" s="20"/>
      <c r="E10" s="20">
        <f>15*30000/90/12</f>
        <v>416.66666666666669</v>
      </c>
      <c r="F10" s="23" t="s">
        <v>14</v>
      </c>
      <c r="G10" s="3"/>
    </row>
    <row r="11" spans="2:7">
      <c r="B11" s="55"/>
      <c r="C11" s="19" t="s">
        <v>15</v>
      </c>
      <c r="D11" s="20"/>
      <c r="E11" s="20">
        <f>15*2600/90/12</f>
        <v>36.111111111111107</v>
      </c>
      <c r="F11" s="23" t="s">
        <v>16</v>
      </c>
      <c r="G11" s="3"/>
    </row>
    <row r="12" spans="2:7">
      <c r="B12" s="55"/>
      <c r="C12" s="19" t="s">
        <v>17</v>
      </c>
      <c r="D12" s="20"/>
      <c r="E12" s="60">
        <f>15*4000/90/12</f>
        <v>55.55555555555555</v>
      </c>
      <c r="F12" s="53" t="s">
        <v>18</v>
      </c>
      <c r="G12" s="3"/>
    </row>
    <row r="13" spans="2:7">
      <c r="B13" s="55"/>
      <c r="C13" s="19" t="s">
        <v>19</v>
      </c>
      <c r="D13" s="20"/>
      <c r="E13" s="60"/>
      <c r="F13" s="54"/>
      <c r="G13" s="3"/>
    </row>
    <row r="14" spans="2:7">
      <c r="B14" s="29"/>
      <c r="C14" s="19"/>
      <c r="D14" s="20"/>
      <c r="E14" s="20"/>
      <c r="F14" s="36"/>
      <c r="G14" s="3"/>
    </row>
    <row r="15" spans="2:7">
      <c r="B15" s="29"/>
      <c r="C15" s="19" t="s">
        <v>20</v>
      </c>
      <c r="D15" s="20"/>
      <c r="E15" s="20">
        <f>SUM(E4:E14)</f>
        <v>24119.283333333333</v>
      </c>
      <c r="F15" s="36"/>
    </row>
    <row r="16" spans="2:7">
      <c r="B16" s="29"/>
      <c r="C16" s="19"/>
      <c r="D16" s="20"/>
      <c r="E16" s="19"/>
      <c r="F16" s="36"/>
    </row>
    <row r="17" spans="2:7">
      <c r="B17" s="29"/>
      <c r="C17" s="19" t="s">
        <v>21</v>
      </c>
      <c r="D17" s="20"/>
      <c r="E17" s="20">
        <f>SUM(E4:E8,E9)*4%</f>
        <v>944.4380000000001</v>
      </c>
      <c r="F17" s="36"/>
    </row>
    <row r="18" spans="2:7">
      <c r="B18" s="29"/>
      <c r="C18" s="19"/>
      <c r="D18" s="20"/>
      <c r="E18" s="20"/>
      <c r="F18" s="36"/>
    </row>
    <row r="19" spans="2:7">
      <c r="B19" s="29"/>
      <c r="C19" s="19" t="s">
        <v>22</v>
      </c>
      <c r="D19" s="20">
        <f>SUM(D3:D18)</f>
        <v>0</v>
      </c>
      <c r="E19" s="20">
        <f>SUM(E15:E18)*12</f>
        <v>300764.65600000002</v>
      </c>
      <c r="F19" s="24"/>
    </row>
    <row r="20" spans="2:7">
      <c r="B20" s="29"/>
      <c r="C20" s="19" t="s">
        <v>23</v>
      </c>
      <c r="D20" s="19"/>
      <c r="E20" s="20">
        <f>E19*5%</f>
        <v>15038.232800000002</v>
      </c>
      <c r="F20" s="24"/>
    </row>
    <row r="21" spans="2:7">
      <c r="B21" s="29"/>
      <c r="C21" s="30" t="s">
        <v>24</v>
      </c>
      <c r="D21" s="20">
        <f>(D19+D20)</f>
        <v>0</v>
      </c>
      <c r="E21" s="20">
        <f>(E19+E20)</f>
        <v>315802.88880000002</v>
      </c>
      <c r="F21" s="24"/>
    </row>
    <row r="22" spans="2:7">
      <c r="B22" s="29"/>
      <c r="C22" s="30"/>
      <c r="D22" s="31"/>
      <c r="E22" s="31"/>
      <c r="F22" s="24"/>
    </row>
    <row r="23" spans="2:7">
      <c r="B23" s="29"/>
      <c r="C23" s="19" t="s">
        <v>25</v>
      </c>
      <c r="D23" s="20">
        <f>D21*10%</f>
        <v>0</v>
      </c>
      <c r="E23" s="20">
        <f>E21*30%</f>
        <v>94740.866640000007</v>
      </c>
      <c r="F23" s="24"/>
    </row>
    <row r="24" spans="2:7">
      <c r="B24" s="29"/>
      <c r="C24" s="30" t="s">
        <v>26</v>
      </c>
      <c r="D24" s="20">
        <f>(D21+D23)</f>
        <v>0</v>
      </c>
      <c r="E24" s="20">
        <f>(E21+E23)</f>
        <v>410543.75544000004</v>
      </c>
      <c r="F24" s="24"/>
    </row>
    <row r="25" spans="2:7">
      <c r="B25" s="29"/>
      <c r="C25" s="30" t="s">
        <v>27</v>
      </c>
      <c r="D25" s="30"/>
      <c r="E25" s="32">
        <v>0.11</v>
      </c>
      <c r="F25" s="24"/>
    </row>
    <row r="26" spans="2:7">
      <c r="B26" s="33"/>
      <c r="C26" s="34" t="s">
        <v>28</v>
      </c>
      <c r="D26" s="35">
        <f>D24</f>
        <v>0</v>
      </c>
      <c r="E26" s="20">
        <f>0.89*E24</f>
        <v>365383.94234160002</v>
      </c>
      <c r="F26" s="37"/>
      <c r="G26" s="8"/>
    </row>
    <row r="27" spans="2:7">
      <c r="B27" s="38"/>
      <c r="C27" s="39"/>
      <c r="D27" s="39"/>
      <c r="E27" s="40"/>
      <c r="F27" s="7"/>
      <c r="G27" s="8"/>
    </row>
    <row r="28" spans="2:7">
      <c r="B28" s="4"/>
      <c r="C28" s="5" t="s">
        <v>29</v>
      </c>
      <c r="D28" s="5"/>
      <c r="E28" s="9">
        <v>8500</v>
      </c>
      <c r="F28" s="7"/>
    </row>
    <row r="29" spans="2:7">
      <c r="B29" s="4"/>
      <c r="C29" s="5"/>
      <c r="D29" s="5"/>
      <c r="E29" s="6"/>
      <c r="F29" s="7"/>
      <c r="G29" s="3"/>
    </row>
    <row r="30" spans="2:7">
      <c r="B30" s="4"/>
      <c r="C30" s="10" t="s">
        <v>30</v>
      </c>
      <c r="D30" s="10"/>
      <c r="E30" s="7">
        <f>E26/E28/12</f>
        <v>3.5821955131529415</v>
      </c>
      <c r="F30" s="7"/>
    </row>
    <row r="31" spans="2:7">
      <c r="C31" s="12"/>
      <c r="D31" s="12"/>
      <c r="E31" s="13"/>
      <c r="F31" s="13"/>
      <c r="G31" s="3"/>
    </row>
    <row r="32" spans="2:7">
      <c r="C32" s="12"/>
      <c r="D32" s="12"/>
      <c r="E32" s="13"/>
      <c r="F32" s="13"/>
    </row>
    <row r="33" spans="3:6">
      <c r="E33" s="13"/>
      <c r="F33" s="13"/>
    </row>
    <row r="34" spans="3:6">
      <c r="C34" s="12"/>
      <c r="D34" s="12"/>
      <c r="E34" s="14"/>
      <c r="F34" s="13"/>
    </row>
    <row r="35" spans="3:6">
      <c r="C35" s="12"/>
      <c r="D35" s="12"/>
      <c r="E35" s="14"/>
      <c r="F35" s="13"/>
    </row>
    <row r="36" spans="3:6">
      <c r="C36" s="12"/>
      <c r="D36" s="12"/>
      <c r="E36" s="15"/>
      <c r="F36" s="13"/>
    </row>
    <row r="37" spans="3:6">
      <c r="C37" s="16"/>
      <c r="D37" s="16"/>
      <c r="E37" s="17"/>
      <c r="F37" s="13"/>
    </row>
    <row r="38" spans="3:6">
      <c r="E38" s="3"/>
      <c r="F38" s="13"/>
    </row>
    <row r="39" spans="3:6">
      <c r="F39" s="13"/>
    </row>
    <row r="40" spans="3:6">
      <c r="E40" s="13"/>
      <c r="F40" s="13"/>
    </row>
  </sheetData>
  <protectedRanges>
    <protectedRange sqref="E28" name="Volumes"/>
  </protectedRanges>
  <mergeCells count="6">
    <mergeCell ref="B4:B8"/>
    <mergeCell ref="B9:B13"/>
    <mergeCell ref="C9:C10"/>
    <mergeCell ref="E12:E13"/>
    <mergeCell ref="F12:F13"/>
    <mergeCell ref="E6:E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5DF40-6292-4933-8D14-676355963C61}">
  <dimension ref="B2:G40"/>
  <sheetViews>
    <sheetView zoomScale="80" zoomScaleNormal="80" workbookViewId="0">
      <selection activeCell="E6" sqref="E6:E8"/>
    </sheetView>
  </sheetViews>
  <sheetFormatPr defaultColWidth="9.140625" defaultRowHeight="15.6"/>
  <cols>
    <col min="1" max="1" width="9.140625" style="2"/>
    <col min="2" max="2" width="14.42578125" style="11" bestFit="1" customWidth="1"/>
    <col min="3" max="3" width="59.85546875" style="2" bestFit="1" customWidth="1"/>
    <col min="4" max="4" width="18.5703125" style="2" bestFit="1" customWidth="1"/>
    <col min="5" max="5" width="21" style="2" customWidth="1"/>
    <col min="6" max="6" width="24.85546875" style="2" bestFit="1" customWidth="1"/>
    <col min="7" max="7" width="13.5703125" style="2" bestFit="1" customWidth="1"/>
    <col min="8" max="8" width="9.140625" style="2"/>
    <col min="9" max="9" width="12.5703125" style="2" bestFit="1" customWidth="1"/>
    <col min="10" max="10" width="9.140625" style="2"/>
    <col min="11" max="11" width="15.42578125" style="2" bestFit="1" customWidth="1"/>
    <col min="12" max="16384" width="9.140625" style="2"/>
  </cols>
  <sheetData>
    <row r="2" spans="2:7">
      <c r="B2" s="47"/>
      <c r="C2" s="48"/>
      <c r="D2" s="49" t="s">
        <v>0</v>
      </c>
      <c r="E2" s="49" t="s">
        <v>1</v>
      </c>
      <c r="F2" s="48"/>
    </row>
    <row r="3" spans="2:7">
      <c r="B3" s="25"/>
      <c r="C3" s="26"/>
      <c r="D3" s="27"/>
      <c r="E3" s="28"/>
      <c r="F3" s="1" t="s">
        <v>2</v>
      </c>
    </row>
    <row r="4" spans="2:7">
      <c r="B4" s="55" t="s">
        <v>3</v>
      </c>
      <c r="C4" s="19" t="s">
        <v>4</v>
      </c>
      <c r="D4" s="20"/>
      <c r="E4" s="50">
        <f>FiveYearsAWSPricing!E4</f>
        <v>10541.85</v>
      </c>
      <c r="F4" s="23"/>
      <c r="G4" s="3"/>
    </row>
    <row r="5" spans="2:7">
      <c r="B5" s="55"/>
      <c r="C5" s="19" t="s">
        <v>31</v>
      </c>
      <c r="D5" s="20"/>
      <c r="E5" s="50">
        <f>FiveYearsAWSPricing!E7</f>
        <v>8286.82</v>
      </c>
      <c r="F5" s="23"/>
      <c r="G5" s="3"/>
    </row>
    <row r="6" spans="2:7">
      <c r="B6" s="55"/>
      <c r="C6" s="19" t="s">
        <v>5</v>
      </c>
      <c r="D6" s="20"/>
      <c r="E6" s="56">
        <f>FiveYearsAWSPricing!E8</f>
        <v>4408.38</v>
      </c>
      <c r="F6" s="23"/>
      <c r="G6" s="3"/>
    </row>
    <row r="7" spans="2:7">
      <c r="B7" s="55"/>
      <c r="C7" s="19" t="s">
        <v>6</v>
      </c>
      <c r="D7" s="20"/>
      <c r="E7" s="57"/>
      <c r="F7" s="24"/>
      <c r="G7" s="3"/>
    </row>
    <row r="8" spans="2:7">
      <c r="B8" s="55"/>
      <c r="C8" s="19" t="s">
        <v>7</v>
      </c>
      <c r="D8" s="20"/>
      <c r="E8" s="58"/>
      <c r="F8" s="23"/>
      <c r="G8" s="3"/>
    </row>
    <row r="9" spans="2:7">
      <c r="B9" s="55" t="s">
        <v>11</v>
      </c>
      <c r="C9" s="59" t="s">
        <v>12</v>
      </c>
      <c r="D9" s="20"/>
      <c r="E9" s="20">
        <v>500</v>
      </c>
      <c r="F9" s="23" t="s">
        <v>13</v>
      </c>
      <c r="G9" s="3"/>
    </row>
    <row r="10" spans="2:7">
      <c r="B10" s="55"/>
      <c r="C10" s="59"/>
      <c r="D10" s="20"/>
      <c r="E10" s="20">
        <f>15*30000/90/12</f>
        <v>416.66666666666669</v>
      </c>
      <c r="F10" s="23" t="s">
        <v>14</v>
      </c>
      <c r="G10" s="3"/>
    </row>
    <row r="11" spans="2:7">
      <c r="B11" s="55"/>
      <c r="C11" s="19" t="s">
        <v>15</v>
      </c>
      <c r="D11" s="20"/>
      <c r="E11" s="20">
        <f>15*2600/90/12</f>
        <v>36.111111111111107</v>
      </c>
      <c r="F11" s="23" t="s">
        <v>16</v>
      </c>
      <c r="G11" s="3"/>
    </row>
    <row r="12" spans="2:7">
      <c r="B12" s="55"/>
      <c r="C12" s="19" t="s">
        <v>17</v>
      </c>
      <c r="D12" s="20"/>
      <c r="E12" s="60">
        <f>15*4000/90/12</f>
        <v>55.55555555555555</v>
      </c>
      <c r="F12" s="53" t="s">
        <v>18</v>
      </c>
      <c r="G12" s="3"/>
    </row>
    <row r="13" spans="2:7">
      <c r="B13" s="55"/>
      <c r="C13" s="19" t="s">
        <v>19</v>
      </c>
      <c r="D13" s="20"/>
      <c r="E13" s="60"/>
      <c r="F13" s="54"/>
      <c r="G13" s="3"/>
    </row>
    <row r="14" spans="2:7">
      <c r="B14" s="29"/>
      <c r="C14" s="19"/>
      <c r="D14" s="20"/>
      <c r="E14" s="20"/>
      <c r="F14" s="36"/>
      <c r="G14" s="3"/>
    </row>
    <row r="15" spans="2:7">
      <c r="B15" s="29"/>
      <c r="C15" s="19" t="s">
        <v>20</v>
      </c>
      <c r="D15" s="20"/>
      <c r="E15" s="20">
        <f>SUM(E4:E14)</f>
        <v>24245.383333333331</v>
      </c>
      <c r="F15" s="36"/>
    </row>
    <row r="16" spans="2:7">
      <c r="B16" s="29"/>
      <c r="C16" s="19"/>
      <c r="D16" s="20"/>
      <c r="E16" s="19"/>
      <c r="F16" s="36"/>
    </row>
    <row r="17" spans="2:7">
      <c r="B17" s="29"/>
      <c r="C17" s="19" t="s">
        <v>21</v>
      </c>
      <c r="D17" s="20"/>
      <c r="E17" s="20">
        <f>SUM(E4:E8,E9)*4%</f>
        <v>949.48199999999997</v>
      </c>
      <c r="F17" s="36"/>
    </row>
    <row r="18" spans="2:7">
      <c r="B18" s="29"/>
      <c r="C18" s="19"/>
      <c r="D18" s="20"/>
      <c r="E18" s="20"/>
      <c r="F18" s="36"/>
    </row>
    <row r="19" spans="2:7">
      <c r="B19" s="29"/>
      <c r="C19" s="19" t="s">
        <v>22</v>
      </c>
      <c r="D19" s="20">
        <f>SUM(D3:D18)</f>
        <v>0</v>
      </c>
      <c r="E19" s="20">
        <f>SUM(E15:E18)*12</f>
        <v>302338.38399999996</v>
      </c>
      <c r="F19" s="24"/>
    </row>
    <row r="20" spans="2:7">
      <c r="B20" s="29"/>
      <c r="C20" s="19" t="s">
        <v>23</v>
      </c>
      <c r="D20" s="19"/>
      <c r="E20" s="20">
        <f>E19*5%</f>
        <v>15116.919199999998</v>
      </c>
      <c r="F20" s="24"/>
    </row>
    <row r="21" spans="2:7">
      <c r="B21" s="29"/>
      <c r="C21" s="30" t="s">
        <v>24</v>
      </c>
      <c r="D21" s="20">
        <f>(D19+D20)</f>
        <v>0</v>
      </c>
      <c r="E21" s="20">
        <f>(E19+E20)</f>
        <v>317455.30319999997</v>
      </c>
      <c r="F21" s="24"/>
    </row>
    <row r="22" spans="2:7">
      <c r="B22" s="29"/>
      <c r="C22" s="30"/>
      <c r="D22" s="31"/>
      <c r="E22" s="31"/>
      <c r="F22" s="24"/>
    </row>
    <row r="23" spans="2:7">
      <c r="B23" s="29"/>
      <c r="C23" s="19" t="s">
        <v>25</v>
      </c>
      <c r="D23" s="20">
        <f>D21*10%</f>
        <v>0</v>
      </c>
      <c r="E23" s="20">
        <f>E21*30%</f>
        <v>95236.590959999987</v>
      </c>
      <c r="F23" s="24"/>
    </row>
    <row r="24" spans="2:7">
      <c r="B24" s="29"/>
      <c r="C24" s="30" t="s">
        <v>26</v>
      </c>
      <c r="D24" s="20">
        <f>(D21+D23)</f>
        <v>0</v>
      </c>
      <c r="E24" s="20">
        <f>(E21+E23)</f>
        <v>412691.89415999997</v>
      </c>
      <c r="F24" s="24"/>
    </row>
    <row r="25" spans="2:7">
      <c r="B25" s="29"/>
      <c r="C25" s="30" t="s">
        <v>27</v>
      </c>
      <c r="D25" s="30"/>
      <c r="E25" s="32">
        <v>0.11</v>
      </c>
      <c r="F25" s="24"/>
    </row>
    <row r="26" spans="2:7">
      <c r="B26" s="33"/>
      <c r="C26" s="34" t="s">
        <v>28</v>
      </c>
      <c r="D26" s="35">
        <f>D24</f>
        <v>0</v>
      </c>
      <c r="E26" s="20">
        <f>0.89*E24</f>
        <v>367295.78580239997</v>
      </c>
      <c r="F26" s="37"/>
      <c r="G26" s="8"/>
    </row>
    <row r="27" spans="2:7">
      <c r="B27" s="38"/>
      <c r="C27" s="39"/>
      <c r="D27" s="39"/>
      <c r="E27" s="40"/>
      <c r="F27" s="7"/>
      <c r="G27" s="8"/>
    </row>
    <row r="28" spans="2:7">
      <c r="B28" s="4"/>
      <c r="C28" s="5" t="s">
        <v>29</v>
      </c>
      <c r="D28" s="5"/>
      <c r="E28" s="9">
        <v>8925</v>
      </c>
      <c r="F28" s="7"/>
    </row>
    <row r="29" spans="2:7">
      <c r="B29" s="4"/>
      <c r="C29" s="5"/>
      <c r="D29" s="5"/>
      <c r="E29" s="6"/>
      <c r="F29" s="7"/>
      <c r="G29" s="3"/>
    </row>
    <row r="30" spans="2:7">
      <c r="B30" s="4"/>
      <c r="C30" s="10" t="s">
        <v>30</v>
      </c>
      <c r="D30" s="10"/>
      <c r="E30" s="7">
        <f>E26/E28/12</f>
        <v>3.4294657871372549</v>
      </c>
      <c r="F30" s="7"/>
    </row>
    <row r="31" spans="2:7">
      <c r="C31" s="12"/>
      <c r="D31" s="12"/>
      <c r="E31" s="13"/>
      <c r="F31" s="13"/>
      <c r="G31" s="3"/>
    </row>
    <row r="32" spans="2:7">
      <c r="C32" s="12"/>
      <c r="D32" s="12"/>
      <c r="E32" s="13"/>
      <c r="F32" s="13"/>
    </row>
    <row r="33" spans="3:6">
      <c r="E33" s="13"/>
      <c r="F33" s="13"/>
    </row>
    <row r="34" spans="3:6">
      <c r="C34" s="12"/>
      <c r="D34" s="12"/>
      <c r="E34" s="14"/>
      <c r="F34" s="13"/>
    </row>
    <row r="35" spans="3:6">
      <c r="C35" s="12"/>
      <c r="D35" s="12"/>
      <c r="E35" s="14"/>
      <c r="F35" s="13"/>
    </row>
    <row r="36" spans="3:6">
      <c r="C36" s="12"/>
      <c r="D36" s="12"/>
      <c r="E36" s="15"/>
      <c r="F36" s="13"/>
    </row>
    <row r="37" spans="3:6">
      <c r="C37" s="16"/>
      <c r="D37" s="16"/>
      <c r="E37" s="17"/>
      <c r="F37" s="13"/>
    </row>
    <row r="38" spans="3:6">
      <c r="E38" s="3"/>
      <c r="F38" s="13"/>
    </row>
    <row r="39" spans="3:6">
      <c r="F39" s="13"/>
    </row>
    <row r="40" spans="3:6">
      <c r="E40" s="13"/>
      <c r="F40" s="13"/>
    </row>
  </sheetData>
  <protectedRanges>
    <protectedRange sqref="E28" name="Volumes"/>
  </protectedRanges>
  <mergeCells count="6">
    <mergeCell ref="B4:B8"/>
    <mergeCell ref="B9:B13"/>
    <mergeCell ref="C9:C10"/>
    <mergeCell ref="E12:E13"/>
    <mergeCell ref="F12:F13"/>
    <mergeCell ref="E6:E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67BB9-66C5-458B-90D3-31BFBB61651F}">
  <dimension ref="B2:G40"/>
  <sheetViews>
    <sheetView zoomScale="80" zoomScaleNormal="80" workbookViewId="0">
      <selection activeCell="E6" sqref="E6:E8"/>
    </sheetView>
  </sheetViews>
  <sheetFormatPr defaultColWidth="9.140625" defaultRowHeight="15.6"/>
  <cols>
    <col min="1" max="1" width="9.140625" style="2"/>
    <col min="2" max="2" width="14.42578125" style="11" bestFit="1" customWidth="1"/>
    <col min="3" max="3" width="59.85546875" style="2" bestFit="1" customWidth="1"/>
    <col min="4" max="4" width="18.5703125" style="2" bestFit="1" customWidth="1"/>
    <col min="5" max="5" width="21" style="2" customWidth="1"/>
    <col min="6" max="6" width="24.85546875" style="2" bestFit="1" customWidth="1"/>
    <col min="7" max="7" width="13.5703125" style="2" bestFit="1" customWidth="1"/>
    <col min="8" max="8" width="9.140625" style="2"/>
    <col min="9" max="9" width="12.5703125" style="2" bestFit="1" customWidth="1"/>
    <col min="10" max="10" width="9.140625" style="2"/>
    <col min="11" max="11" width="15.42578125" style="2" bestFit="1" customWidth="1"/>
    <col min="12" max="16384" width="9.140625" style="2"/>
  </cols>
  <sheetData>
    <row r="2" spans="2:7">
      <c r="B2" s="47"/>
      <c r="C2" s="48"/>
      <c r="D2" s="49" t="s">
        <v>0</v>
      </c>
      <c r="E2" s="49" t="s">
        <v>1</v>
      </c>
      <c r="F2" s="48"/>
    </row>
    <row r="3" spans="2:7">
      <c r="B3" s="25"/>
      <c r="C3" s="26"/>
      <c r="D3" s="27"/>
      <c r="E3" s="28"/>
      <c r="F3" s="1" t="s">
        <v>2</v>
      </c>
    </row>
    <row r="4" spans="2:7">
      <c r="B4" s="55" t="s">
        <v>3</v>
      </c>
      <c r="C4" s="19" t="s">
        <v>4</v>
      </c>
      <c r="D4" s="20"/>
      <c r="E4" s="50">
        <f>FiveYearsAWSPricing!E5</f>
        <v>10722.25</v>
      </c>
      <c r="F4" s="23"/>
      <c r="G4" s="3"/>
    </row>
    <row r="5" spans="2:7">
      <c r="B5" s="55"/>
      <c r="C5" s="19" t="s">
        <v>31</v>
      </c>
      <c r="D5" s="20"/>
      <c r="E5" s="50">
        <f>FiveYearsAWSPricing!E7</f>
        <v>8286.82</v>
      </c>
      <c r="F5" s="23"/>
      <c r="G5" s="3"/>
    </row>
    <row r="6" spans="2:7">
      <c r="B6" s="55"/>
      <c r="C6" s="19" t="s">
        <v>5</v>
      </c>
      <c r="D6" s="20"/>
      <c r="E6" s="56">
        <f>FiveYearsAWSPricing!E8</f>
        <v>4408.38</v>
      </c>
      <c r="F6" s="23"/>
      <c r="G6" s="3"/>
    </row>
    <row r="7" spans="2:7">
      <c r="B7" s="55"/>
      <c r="C7" s="19" t="s">
        <v>6</v>
      </c>
      <c r="D7" s="20"/>
      <c r="E7" s="57"/>
      <c r="F7" s="24"/>
      <c r="G7" s="3"/>
    </row>
    <row r="8" spans="2:7">
      <c r="B8" s="55"/>
      <c r="C8" s="19" t="s">
        <v>7</v>
      </c>
      <c r="D8" s="20"/>
      <c r="E8" s="58"/>
      <c r="F8" s="23"/>
      <c r="G8" s="3"/>
    </row>
    <row r="9" spans="2:7">
      <c r="B9" s="55" t="s">
        <v>11</v>
      </c>
      <c r="C9" s="59" t="s">
        <v>12</v>
      </c>
      <c r="D9" s="20"/>
      <c r="E9" s="20">
        <v>500</v>
      </c>
      <c r="F9" s="23" t="s">
        <v>13</v>
      </c>
      <c r="G9" s="3"/>
    </row>
    <row r="10" spans="2:7">
      <c r="B10" s="55"/>
      <c r="C10" s="59"/>
      <c r="D10" s="20"/>
      <c r="E10" s="20">
        <f>15*30000/90/12</f>
        <v>416.66666666666669</v>
      </c>
      <c r="F10" s="23" t="s">
        <v>14</v>
      </c>
      <c r="G10" s="3"/>
    </row>
    <row r="11" spans="2:7">
      <c r="B11" s="55"/>
      <c r="C11" s="19" t="s">
        <v>15</v>
      </c>
      <c r="D11" s="20"/>
      <c r="E11" s="20">
        <f>15*2600/90/12</f>
        <v>36.111111111111107</v>
      </c>
      <c r="F11" s="23" t="s">
        <v>16</v>
      </c>
      <c r="G11" s="3"/>
    </row>
    <row r="12" spans="2:7">
      <c r="B12" s="55"/>
      <c r="C12" s="19" t="s">
        <v>17</v>
      </c>
      <c r="D12" s="20"/>
      <c r="E12" s="60">
        <f>15*4000/90/12</f>
        <v>55.55555555555555</v>
      </c>
      <c r="F12" s="53" t="s">
        <v>18</v>
      </c>
      <c r="G12" s="3"/>
    </row>
    <row r="13" spans="2:7">
      <c r="B13" s="55"/>
      <c r="C13" s="19" t="s">
        <v>19</v>
      </c>
      <c r="D13" s="20"/>
      <c r="E13" s="60"/>
      <c r="F13" s="54"/>
      <c r="G13" s="3"/>
    </row>
    <row r="14" spans="2:7">
      <c r="B14" s="29"/>
      <c r="C14" s="19"/>
      <c r="D14" s="20"/>
      <c r="E14" s="20"/>
      <c r="F14" s="36"/>
      <c r="G14" s="3"/>
    </row>
    <row r="15" spans="2:7">
      <c r="B15" s="29"/>
      <c r="C15" s="19" t="s">
        <v>20</v>
      </c>
      <c r="D15" s="20"/>
      <c r="E15" s="20">
        <f>SUM(E4:E14)</f>
        <v>24425.783333333333</v>
      </c>
      <c r="F15" s="36"/>
    </row>
    <row r="16" spans="2:7">
      <c r="B16" s="29"/>
      <c r="C16" s="19"/>
      <c r="D16" s="20"/>
      <c r="E16" s="19"/>
      <c r="F16" s="36"/>
    </row>
    <row r="17" spans="2:7">
      <c r="B17" s="29"/>
      <c r="C17" s="19" t="s">
        <v>21</v>
      </c>
      <c r="D17" s="20"/>
      <c r="E17" s="20">
        <f>SUM(E4:E8,E9)*4%</f>
        <v>956.69800000000009</v>
      </c>
      <c r="F17" s="36"/>
    </row>
    <row r="18" spans="2:7">
      <c r="B18" s="29"/>
      <c r="C18" s="19"/>
      <c r="D18" s="20"/>
      <c r="E18" s="20"/>
      <c r="F18" s="36"/>
    </row>
    <row r="19" spans="2:7">
      <c r="B19" s="29"/>
      <c r="C19" s="19" t="s">
        <v>22</v>
      </c>
      <c r="D19" s="20">
        <f>SUM(D3:D18)</f>
        <v>0</v>
      </c>
      <c r="E19" s="20">
        <f>SUM(E15:E18)*12</f>
        <v>304589.77600000001</v>
      </c>
      <c r="F19" s="24"/>
    </row>
    <row r="20" spans="2:7">
      <c r="B20" s="29"/>
      <c r="C20" s="19" t="s">
        <v>23</v>
      </c>
      <c r="D20" s="19"/>
      <c r="E20" s="20">
        <f>E19*5%</f>
        <v>15229.488800000001</v>
      </c>
      <c r="F20" s="24"/>
    </row>
    <row r="21" spans="2:7">
      <c r="B21" s="29"/>
      <c r="C21" s="30" t="s">
        <v>24</v>
      </c>
      <c r="D21" s="20">
        <f>(D19+D20)</f>
        <v>0</v>
      </c>
      <c r="E21" s="20">
        <f>(E19+E20)</f>
        <v>319819.2648</v>
      </c>
      <c r="F21" s="24"/>
    </row>
    <row r="22" spans="2:7">
      <c r="B22" s="29"/>
      <c r="C22" s="30"/>
      <c r="D22" s="31"/>
      <c r="E22" s="31"/>
      <c r="F22" s="24"/>
    </row>
    <row r="23" spans="2:7">
      <c r="B23" s="29"/>
      <c r="C23" s="19" t="s">
        <v>25</v>
      </c>
      <c r="D23" s="20">
        <f>D21*10%</f>
        <v>0</v>
      </c>
      <c r="E23" s="20">
        <f>E21*30%</f>
        <v>95945.779439999998</v>
      </c>
      <c r="F23" s="24"/>
    </row>
    <row r="24" spans="2:7">
      <c r="B24" s="29"/>
      <c r="C24" s="30" t="s">
        <v>26</v>
      </c>
      <c r="D24" s="20">
        <f>(D21+D23)</f>
        <v>0</v>
      </c>
      <c r="E24" s="20">
        <f>(E21+E23)</f>
        <v>415765.04424000002</v>
      </c>
      <c r="F24" s="24"/>
    </row>
    <row r="25" spans="2:7">
      <c r="B25" s="29"/>
      <c r="C25" s="30" t="s">
        <v>27</v>
      </c>
      <c r="D25" s="30"/>
      <c r="E25" s="32">
        <v>0.11</v>
      </c>
      <c r="F25" s="24"/>
    </row>
    <row r="26" spans="2:7">
      <c r="B26" s="33"/>
      <c r="C26" s="34" t="s">
        <v>28</v>
      </c>
      <c r="D26" s="35">
        <f>D24</f>
        <v>0</v>
      </c>
      <c r="E26" s="20">
        <f>0.89*E24</f>
        <v>370030.88937360002</v>
      </c>
      <c r="F26" s="37"/>
      <c r="G26" s="8"/>
    </row>
    <row r="27" spans="2:7">
      <c r="B27" s="38"/>
      <c r="C27" s="39"/>
      <c r="D27" s="39"/>
      <c r="E27" s="40"/>
      <c r="F27" s="7"/>
      <c r="G27" s="8"/>
    </row>
    <row r="28" spans="2:7">
      <c r="B28" s="4"/>
      <c r="C28" s="5" t="s">
        <v>29</v>
      </c>
      <c r="D28" s="5"/>
      <c r="E28" s="9">
        <v>9371</v>
      </c>
      <c r="F28" s="7"/>
    </row>
    <row r="29" spans="2:7">
      <c r="B29" s="4"/>
      <c r="C29" s="5"/>
      <c r="D29" s="5"/>
      <c r="E29" s="6"/>
      <c r="F29" s="7"/>
      <c r="G29" s="3"/>
    </row>
    <row r="30" spans="2:7">
      <c r="B30" s="4"/>
      <c r="C30" s="10" t="s">
        <v>30</v>
      </c>
      <c r="D30" s="10"/>
      <c r="E30" s="7">
        <f>E26/E28/12</f>
        <v>3.2905674365382569</v>
      </c>
      <c r="F30" s="7"/>
    </row>
    <row r="31" spans="2:7">
      <c r="C31" s="12"/>
      <c r="D31" s="12"/>
      <c r="E31" s="13"/>
      <c r="F31" s="13"/>
      <c r="G31" s="3"/>
    </row>
    <row r="32" spans="2:7">
      <c r="C32" s="12"/>
      <c r="D32" s="12"/>
      <c r="E32" s="13"/>
      <c r="F32" s="13"/>
    </row>
    <row r="33" spans="3:6">
      <c r="E33" s="13"/>
      <c r="F33" s="13"/>
    </row>
    <row r="34" spans="3:6">
      <c r="C34" s="12"/>
      <c r="D34" s="12"/>
      <c r="E34" s="14"/>
      <c r="F34" s="13"/>
    </row>
    <row r="35" spans="3:6">
      <c r="C35" s="12"/>
      <c r="D35" s="12"/>
      <c r="E35" s="14"/>
      <c r="F35" s="13"/>
    </row>
    <row r="36" spans="3:6">
      <c r="C36" s="12"/>
      <c r="D36" s="12"/>
      <c r="E36" s="15"/>
      <c r="F36" s="13"/>
    </row>
    <row r="37" spans="3:6">
      <c r="C37" s="16"/>
      <c r="D37" s="16"/>
      <c r="E37" s="17"/>
      <c r="F37" s="13"/>
    </row>
    <row r="38" spans="3:6">
      <c r="E38" s="3"/>
      <c r="F38" s="13"/>
    </row>
    <row r="39" spans="3:6">
      <c r="F39" s="13"/>
    </row>
    <row r="40" spans="3:6">
      <c r="E40" s="13"/>
      <c r="F40" s="13"/>
    </row>
  </sheetData>
  <protectedRanges>
    <protectedRange sqref="E28" name="Volumes"/>
  </protectedRanges>
  <mergeCells count="6">
    <mergeCell ref="B4:B8"/>
    <mergeCell ref="B9:B13"/>
    <mergeCell ref="C9:C10"/>
    <mergeCell ref="E12:E13"/>
    <mergeCell ref="F12:F13"/>
    <mergeCell ref="E6:E8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7BEB5-3B5A-439C-9D36-F5F631B990C7}">
  <dimension ref="B2:G40"/>
  <sheetViews>
    <sheetView zoomScale="80" zoomScaleNormal="80" workbookViewId="0">
      <selection activeCell="G15" sqref="G15"/>
    </sheetView>
  </sheetViews>
  <sheetFormatPr defaultColWidth="9.140625" defaultRowHeight="15.6"/>
  <cols>
    <col min="1" max="1" width="9.140625" style="2"/>
    <col min="2" max="2" width="14.42578125" style="11" bestFit="1" customWidth="1"/>
    <col min="3" max="3" width="59.85546875" style="2" bestFit="1" customWidth="1"/>
    <col min="4" max="4" width="18.5703125" style="2" bestFit="1" customWidth="1"/>
    <col min="5" max="5" width="21" style="2" customWidth="1"/>
    <col min="6" max="6" width="24.85546875" style="2" bestFit="1" customWidth="1"/>
    <col min="7" max="7" width="13.5703125" style="2" bestFit="1" customWidth="1"/>
    <col min="8" max="8" width="9.140625" style="2"/>
    <col min="9" max="9" width="12.5703125" style="2" bestFit="1" customWidth="1"/>
    <col min="10" max="10" width="9.140625" style="2"/>
    <col min="11" max="11" width="15.42578125" style="2" bestFit="1" customWidth="1"/>
    <col min="12" max="16384" width="9.140625" style="2"/>
  </cols>
  <sheetData>
    <row r="2" spans="2:7">
      <c r="B2" s="47"/>
      <c r="C2" s="48"/>
      <c r="D2" s="49" t="s">
        <v>0</v>
      </c>
      <c r="E2" s="49" t="s">
        <v>1</v>
      </c>
      <c r="F2" s="48"/>
    </row>
    <row r="3" spans="2:7">
      <c r="B3" s="25"/>
      <c r="C3" s="26"/>
      <c r="D3" s="27"/>
      <c r="E3" s="28"/>
      <c r="F3" s="1" t="s">
        <v>2</v>
      </c>
    </row>
    <row r="4" spans="2:7">
      <c r="B4" s="55" t="s">
        <v>3</v>
      </c>
      <c r="C4" s="19" t="s">
        <v>4</v>
      </c>
      <c r="D4" s="20"/>
      <c r="E4" s="50">
        <f>FiveYearsAWSPricing!E6</f>
        <v>11171.79</v>
      </c>
      <c r="F4" s="23"/>
      <c r="G4" s="3"/>
    </row>
    <row r="5" spans="2:7">
      <c r="B5" s="55"/>
      <c r="C5" s="19" t="s">
        <v>31</v>
      </c>
      <c r="D5" s="20"/>
      <c r="E5" s="50">
        <f>FiveYearsAWSPricing!E7</f>
        <v>8286.82</v>
      </c>
      <c r="F5" s="23"/>
      <c r="G5" s="3"/>
    </row>
    <row r="6" spans="2:7">
      <c r="B6" s="55"/>
      <c r="C6" s="19" t="s">
        <v>5</v>
      </c>
      <c r="D6" s="20"/>
      <c r="E6" s="56">
        <f>FiveYearsAWSPricing!E8</f>
        <v>4408.38</v>
      </c>
      <c r="F6" s="23"/>
      <c r="G6" s="3"/>
    </row>
    <row r="7" spans="2:7">
      <c r="B7" s="55"/>
      <c r="C7" s="19" t="s">
        <v>6</v>
      </c>
      <c r="D7" s="20"/>
      <c r="E7" s="57"/>
      <c r="F7" s="24"/>
      <c r="G7" s="3"/>
    </row>
    <row r="8" spans="2:7">
      <c r="B8" s="55"/>
      <c r="C8" s="19" t="s">
        <v>7</v>
      </c>
      <c r="D8" s="20"/>
      <c r="E8" s="58"/>
      <c r="F8" s="23"/>
      <c r="G8" s="3"/>
    </row>
    <row r="9" spans="2:7">
      <c r="B9" s="55" t="s">
        <v>11</v>
      </c>
      <c r="C9" s="59" t="s">
        <v>12</v>
      </c>
      <c r="D9" s="20"/>
      <c r="E9" s="20">
        <v>500</v>
      </c>
      <c r="F9" s="23" t="s">
        <v>13</v>
      </c>
      <c r="G9" s="3"/>
    </row>
    <row r="10" spans="2:7">
      <c r="B10" s="55"/>
      <c r="C10" s="59"/>
      <c r="D10" s="20"/>
      <c r="E10" s="20">
        <f>15*30000/90/12</f>
        <v>416.66666666666669</v>
      </c>
      <c r="F10" s="23" t="s">
        <v>14</v>
      </c>
      <c r="G10" s="3"/>
    </row>
    <row r="11" spans="2:7">
      <c r="B11" s="55"/>
      <c r="C11" s="19" t="s">
        <v>15</v>
      </c>
      <c r="D11" s="20"/>
      <c r="E11" s="20">
        <f>15*2600/90/12</f>
        <v>36.111111111111107</v>
      </c>
      <c r="F11" s="23" t="s">
        <v>16</v>
      </c>
      <c r="G11" s="3"/>
    </row>
    <row r="12" spans="2:7">
      <c r="B12" s="55"/>
      <c r="C12" s="19" t="s">
        <v>17</v>
      </c>
      <c r="D12" s="20"/>
      <c r="E12" s="60">
        <f>15*4000/90/12</f>
        <v>55.55555555555555</v>
      </c>
      <c r="F12" s="53" t="s">
        <v>18</v>
      </c>
      <c r="G12" s="3"/>
    </row>
    <row r="13" spans="2:7">
      <c r="B13" s="55"/>
      <c r="C13" s="19" t="s">
        <v>19</v>
      </c>
      <c r="D13" s="20"/>
      <c r="E13" s="60"/>
      <c r="F13" s="54"/>
      <c r="G13" s="3"/>
    </row>
    <row r="14" spans="2:7">
      <c r="B14" s="29"/>
      <c r="C14" s="19"/>
      <c r="D14" s="20"/>
      <c r="E14" s="20"/>
      <c r="F14" s="36"/>
      <c r="G14" s="3"/>
    </row>
    <row r="15" spans="2:7">
      <c r="B15" s="29"/>
      <c r="C15" s="19" t="s">
        <v>20</v>
      </c>
      <c r="D15" s="20"/>
      <c r="E15" s="20">
        <f>SUM(E4:E14)</f>
        <v>24875.323333333334</v>
      </c>
      <c r="F15" s="36"/>
    </row>
    <row r="16" spans="2:7">
      <c r="B16" s="29"/>
      <c r="C16" s="19"/>
      <c r="D16" s="20"/>
      <c r="E16" s="19"/>
      <c r="F16" s="36"/>
    </row>
    <row r="17" spans="2:7">
      <c r="B17" s="29"/>
      <c r="C17" s="19" t="s">
        <v>21</v>
      </c>
      <c r="D17" s="20"/>
      <c r="E17" s="20">
        <f>SUM(E4:E8,E9)*4%</f>
        <v>974.67960000000005</v>
      </c>
      <c r="F17" s="36"/>
    </row>
    <row r="18" spans="2:7">
      <c r="B18" s="29"/>
      <c r="C18" s="19"/>
      <c r="D18" s="20"/>
      <c r="E18" s="20"/>
      <c r="F18" s="36"/>
    </row>
    <row r="19" spans="2:7">
      <c r="B19" s="29"/>
      <c r="C19" s="19" t="s">
        <v>22</v>
      </c>
      <c r="D19" s="20">
        <f>SUM(D3:D18)</f>
        <v>0</v>
      </c>
      <c r="E19" s="20">
        <f>SUM(E15:E18)*12</f>
        <v>310200.03519999998</v>
      </c>
      <c r="F19" s="24"/>
    </row>
    <row r="20" spans="2:7">
      <c r="B20" s="29"/>
      <c r="C20" s="19" t="s">
        <v>23</v>
      </c>
      <c r="D20" s="19"/>
      <c r="E20" s="20">
        <f>E19*5%</f>
        <v>15510.001759999999</v>
      </c>
      <c r="F20" s="24"/>
    </row>
    <row r="21" spans="2:7">
      <c r="B21" s="29"/>
      <c r="C21" s="30" t="s">
        <v>24</v>
      </c>
      <c r="D21" s="20">
        <f>(D19+D20)</f>
        <v>0</v>
      </c>
      <c r="E21" s="20">
        <f>(E19+E20)</f>
        <v>325710.03696</v>
      </c>
      <c r="F21" s="24"/>
    </row>
    <row r="22" spans="2:7">
      <c r="B22" s="29"/>
      <c r="C22" s="30"/>
      <c r="D22" s="31"/>
      <c r="E22" s="31"/>
      <c r="F22" s="24"/>
    </row>
    <row r="23" spans="2:7">
      <c r="B23" s="29"/>
      <c r="C23" s="19" t="s">
        <v>25</v>
      </c>
      <c r="D23" s="20">
        <f>D21*10%</f>
        <v>0</v>
      </c>
      <c r="E23" s="20">
        <f>E21*30%</f>
        <v>97713.011087999999</v>
      </c>
      <c r="F23" s="24"/>
    </row>
    <row r="24" spans="2:7">
      <c r="B24" s="29"/>
      <c r="C24" s="30" t="s">
        <v>26</v>
      </c>
      <c r="D24" s="20">
        <f>(D21+D23)</f>
        <v>0</v>
      </c>
      <c r="E24" s="20">
        <f>(E21+E23)</f>
        <v>423423.04804799997</v>
      </c>
      <c r="F24" s="24"/>
    </row>
    <row r="25" spans="2:7">
      <c r="B25" s="29"/>
      <c r="C25" s="30" t="s">
        <v>27</v>
      </c>
      <c r="D25" s="30"/>
      <c r="E25" s="32">
        <v>0.11</v>
      </c>
      <c r="F25" s="24"/>
    </row>
    <row r="26" spans="2:7">
      <c r="B26" s="33"/>
      <c r="C26" s="34" t="s">
        <v>28</v>
      </c>
      <c r="D26" s="35">
        <f>D24</f>
        <v>0</v>
      </c>
      <c r="E26" s="20">
        <f>0.89*E24</f>
        <v>376846.51276272</v>
      </c>
      <c r="F26" s="37"/>
      <c r="G26" s="8"/>
    </row>
    <row r="27" spans="2:7">
      <c r="B27" s="38"/>
      <c r="C27" s="39"/>
      <c r="D27" s="39"/>
      <c r="E27" s="40"/>
      <c r="F27" s="7"/>
      <c r="G27" s="8"/>
    </row>
    <row r="28" spans="2:7">
      <c r="B28" s="4"/>
      <c r="C28" s="5" t="s">
        <v>29</v>
      </c>
      <c r="D28" s="5"/>
      <c r="E28" s="9">
        <v>9840</v>
      </c>
      <c r="F28" s="7"/>
    </row>
    <row r="29" spans="2:7">
      <c r="B29" s="4"/>
      <c r="C29" s="5"/>
      <c r="D29" s="5"/>
      <c r="E29" s="6"/>
      <c r="F29" s="7"/>
      <c r="G29" s="3"/>
    </row>
    <row r="30" spans="2:7">
      <c r="B30" s="4"/>
      <c r="C30" s="10" t="s">
        <v>30</v>
      </c>
      <c r="D30" s="10"/>
      <c r="E30" s="7">
        <f>E26/E28/12</f>
        <v>3.1914508194674798</v>
      </c>
      <c r="F30" s="7"/>
    </row>
    <row r="31" spans="2:7">
      <c r="C31" s="12"/>
      <c r="D31" s="12"/>
      <c r="E31" s="13"/>
      <c r="F31" s="13"/>
      <c r="G31" s="3"/>
    </row>
    <row r="32" spans="2:7">
      <c r="C32" s="12"/>
      <c r="D32" s="12"/>
      <c r="E32" s="13"/>
      <c r="F32" s="13"/>
    </row>
    <row r="33" spans="3:6">
      <c r="E33" s="13"/>
      <c r="F33" s="13"/>
    </row>
    <row r="34" spans="3:6">
      <c r="C34" s="12"/>
      <c r="D34" s="12"/>
      <c r="E34" s="14"/>
      <c r="F34" s="13"/>
    </row>
    <row r="35" spans="3:6">
      <c r="C35" s="12"/>
      <c r="D35" s="12"/>
      <c r="E35" s="14"/>
      <c r="F35" s="13"/>
    </row>
    <row r="36" spans="3:6">
      <c r="C36" s="12"/>
      <c r="D36" s="12"/>
      <c r="E36" s="15"/>
      <c r="F36" s="13"/>
    </row>
    <row r="37" spans="3:6">
      <c r="C37" s="16"/>
      <c r="D37" s="16"/>
      <c r="E37" s="17"/>
      <c r="F37" s="13"/>
    </row>
    <row r="38" spans="3:6">
      <c r="E38" s="3"/>
      <c r="F38" s="13"/>
    </row>
    <row r="39" spans="3:6">
      <c r="F39" s="13"/>
    </row>
    <row r="40" spans="3:6">
      <c r="E40" s="13"/>
      <c r="F40" s="13"/>
    </row>
  </sheetData>
  <protectedRanges>
    <protectedRange sqref="E28" name="Volumes"/>
  </protectedRanges>
  <mergeCells count="6">
    <mergeCell ref="B4:B8"/>
    <mergeCell ref="B9:B13"/>
    <mergeCell ref="C9:C10"/>
    <mergeCell ref="E12:E13"/>
    <mergeCell ref="F12:F13"/>
    <mergeCell ref="E6:E8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67AF2-5B94-4624-914A-6781D77F3373}">
  <dimension ref="A1:F13"/>
  <sheetViews>
    <sheetView tabSelected="1" zoomScale="80" workbookViewId="0">
      <selection activeCell="D2" sqref="D2"/>
    </sheetView>
  </sheetViews>
  <sheetFormatPr defaultRowHeight="14.45"/>
  <cols>
    <col min="1" max="1" width="14.42578125" customWidth="1"/>
    <col min="2" max="2" width="35.42578125" customWidth="1"/>
    <col min="3" max="3" width="11.5703125" customWidth="1"/>
    <col min="4" max="4" width="76.42578125" customWidth="1"/>
    <col min="5" max="5" width="31.5703125" customWidth="1"/>
    <col min="6" max="6" width="17" customWidth="1"/>
  </cols>
  <sheetData>
    <row r="1" spans="1:6" ht="15.95" customHeight="1">
      <c r="A1" s="18" t="s">
        <v>32</v>
      </c>
      <c r="B1" s="46" t="s">
        <v>33</v>
      </c>
      <c r="C1" s="46" t="s">
        <v>34</v>
      </c>
      <c r="D1" s="46" t="s">
        <v>35</v>
      </c>
      <c r="E1" s="46" t="s">
        <v>36</v>
      </c>
      <c r="F1" s="46" t="s">
        <v>37</v>
      </c>
    </row>
    <row r="2" spans="1:6" ht="15.95" customHeight="1">
      <c r="A2" s="62" t="s">
        <v>3</v>
      </c>
      <c r="B2" s="61" t="s">
        <v>4</v>
      </c>
      <c r="C2" s="42">
        <v>1</v>
      </c>
      <c r="D2" s="41" t="s">
        <v>38</v>
      </c>
      <c r="E2" s="50">
        <f>F2/12</f>
        <v>9598.09</v>
      </c>
      <c r="F2" s="44">
        <v>115177.08</v>
      </c>
    </row>
    <row r="3" spans="1:6" ht="15.95" customHeight="1">
      <c r="A3" s="63"/>
      <c r="B3" s="61"/>
      <c r="C3" s="42">
        <v>2</v>
      </c>
      <c r="D3" s="41" t="s">
        <v>39</v>
      </c>
      <c r="E3" s="50">
        <f t="shared" ref="E3:E6" si="0">F3/12</f>
        <v>10415.75</v>
      </c>
      <c r="F3" s="44">
        <v>124989</v>
      </c>
    </row>
    <row r="4" spans="1:6" ht="15.95" customHeight="1">
      <c r="A4" s="63"/>
      <c r="B4" s="61"/>
      <c r="C4" s="42">
        <v>3</v>
      </c>
      <c r="D4" s="41" t="s">
        <v>40</v>
      </c>
      <c r="E4" s="50">
        <f t="shared" si="0"/>
        <v>10541.85</v>
      </c>
      <c r="F4" s="44">
        <v>126502.2</v>
      </c>
    </row>
    <row r="5" spans="1:6" ht="15.95" customHeight="1">
      <c r="A5" s="63"/>
      <c r="B5" s="61"/>
      <c r="C5" s="42">
        <v>4</v>
      </c>
      <c r="D5" s="41" t="s">
        <v>41</v>
      </c>
      <c r="E5" s="50">
        <f t="shared" si="0"/>
        <v>10722.25</v>
      </c>
      <c r="F5" s="44">
        <v>128667</v>
      </c>
    </row>
    <row r="6" spans="1:6" ht="15.95" customHeight="1">
      <c r="A6" s="63"/>
      <c r="B6" s="61"/>
      <c r="C6" s="42">
        <v>5</v>
      </c>
      <c r="D6" s="43" t="s">
        <v>42</v>
      </c>
      <c r="E6" s="50">
        <f t="shared" si="0"/>
        <v>11171.79</v>
      </c>
      <c r="F6" s="44">
        <v>134061.48000000001</v>
      </c>
    </row>
    <row r="7" spans="1:6" ht="15.95" customHeight="1">
      <c r="A7" s="63"/>
      <c r="B7" s="51" t="s">
        <v>31</v>
      </c>
      <c r="C7" s="42"/>
      <c r="D7" s="41" t="s">
        <v>43</v>
      </c>
      <c r="E7" s="50">
        <f>F7/12</f>
        <v>8286.82</v>
      </c>
      <c r="F7" s="44">
        <v>99441.84</v>
      </c>
    </row>
    <row r="8" spans="1:6" ht="15.95" customHeight="1">
      <c r="A8" s="63"/>
      <c r="B8" s="52" t="s">
        <v>44</v>
      </c>
      <c r="C8" s="74"/>
      <c r="D8" s="71" t="s">
        <v>45</v>
      </c>
      <c r="E8" s="65">
        <f t="shared" ref="E8" si="1">F8/12</f>
        <v>4408.38</v>
      </c>
      <c r="F8" s="68">
        <v>52900.56</v>
      </c>
    </row>
    <row r="9" spans="1:6" ht="15.95" customHeight="1">
      <c r="A9" s="63"/>
      <c r="B9" s="52" t="s">
        <v>6</v>
      </c>
      <c r="C9" s="75"/>
      <c r="D9" s="72"/>
      <c r="E9" s="66"/>
      <c r="F9" s="69"/>
    </row>
    <row r="10" spans="1:6" ht="15.95" customHeight="1">
      <c r="A10" s="64"/>
      <c r="B10" s="52" t="s">
        <v>7</v>
      </c>
      <c r="C10" s="76"/>
      <c r="D10" s="73"/>
      <c r="E10" s="67"/>
      <c r="F10" s="70"/>
    </row>
    <row r="12" spans="1:6">
      <c r="C12" s="45" t="s">
        <v>46</v>
      </c>
    </row>
    <row r="13" spans="1:6">
      <c r="C13" t="s">
        <v>47</v>
      </c>
    </row>
  </sheetData>
  <mergeCells count="6">
    <mergeCell ref="B2:B6"/>
    <mergeCell ref="A2:A10"/>
    <mergeCell ref="E8:E10"/>
    <mergeCell ref="F8:F10"/>
    <mergeCell ref="D8:D10"/>
    <mergeCell ref="C8:C10"/>
  </mergeCells>
  <phoneticPr fontId="20" type="noConversion"/>
  <hyperlinks>
    <hyperlink ref="D8" r:id="rId1" location="/estimate?id=3cce5dfb7a276d282e22330b899dc8e25f2881a5" xr:uid="{6FDB1190-5346-4972-8DBE-A6BB366E920C}"/>
    <hyperlink ref="D2" r:id="rId2" location="/estimate?id=3d855f88245edf875bd7bd9d307b2b11d8555634" xr:uid="{610E4993-51F9-42C7-B064-C7C15EB81D1E}"/>
  </hyperlinks>
  <pageMargins left="0.7" right="0.7" top="0.75" bottom="0.75" header="0.3" footer="0.3"/>
  <pageSetup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650a09-bea8-446c-93c1-da0fa3a110bb" xsi:nil="true"/>
    <DateTime xmlns="dc8cf51d-6865-4274-af30-b4ce83c6774e" xsi:nil="true"/>
    <lcf76f155ced4ddcb4097134ff3c332f xmlns="dc8cf51d-6865-4274-af30-b4ce83c6774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7C8883F200AE4AA7DC677F98F1DD40" ma:contentTypeVersion="16" ma:contentTypeDescription="Create a new document." ma:contentTypeScope="" ma:versionID="a5e0a5378948352aad8678c31773b0d4">
  <xsd:schema xmlns:xsd="http://www.w3.org/2001/XMLSchema" xmlns:xs="http://www.w3.org/2001/XMLSchema" xmlns:p="http://schemas.microsoft.com/office/2006/metadata/properties" xmlns:ns2="dc8cf51d-6865-4274-af30-b4ce83c6774e" xmlns:ns3="19650a09-bea8-446c-93c1-da0fa3a110bb" targetNamespace="http://schemas.microsoft.com/office/2006/metadata/properties" ma:root="true" ma:fieldsID="8a0bb30ef738f845075408d21a8e9d97" ns2:_="" ns3:_="">
    <xsd:import namespace="dc8cf51d-6865-4274-af30-b4ce83c6774e"/>
    <xsd:import namespace="19650a09-bea8-446c-93c1-da0fa3a110bb"/>
    <xsd:element name="properties">
      <xsd:complexType>
        <xsd:sequence>
          <xsd:element name="documentManagement">
            <xsd:complexType>
              <xsd:all>
                <xsd:element ref="ns2:DateTime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cf51d-6865-4274-af30-b4ce83c6774e" elementFormDefault="qualified">
    <xsd:import namespace="http://schemas.microsoft.com/office/2006/documentManagement/types"/>
    <xsd:import namespace="http://schemas.microsoft.com/office/infopath/2007/PartnerControls"/>
    <xsd:element name="DateTime" ma:index="8" nillable="true" ma:displayName="Date Time" ma:format="DateOnly" ma:internalName="DateTime">
      <xsd:simpleType>
        <xsd:restriction base="dms:DateTim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5f223b0e-6099-427b-8a06-7e583c67c1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50a09-bea8-446c-93c1-da0fa3a110b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413833fe-4cef-41d5-9d23-2214a180e42d}" ma:internalName="TaxCatchAll" ma:showField="CatchAllData" ma:web="19650a09-bea8-446c-93c1-da0fa3a110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EA7882-BAA5-4AB5-A504-468596C7FCBA}"/>
</file>

<file path=customXml/itemProps2.xml><?xml version="1.0" encoding="utf-8"?>
<ds:datastoreItem xmlns:ds="http://schemas.openxmlformats.org/officeDocument/2006/customXml" ds:itemID="{36AC3B52-5428-4FE4-92FE-103190CF25A6}"/>
</file>

<file path=customXml/itemProps3.xml><?xml version="1.0" encoding="utf-8"?>
<ds:datastoreItem xmlns:ds="http://schemas.openxmlformats.org/officeDocument/2006/customXml" ds:itemID="{C041F18C-5371-4DCC-96EC-AF1D368F6E70}"/>
</file>

<file path=docMetadata/LabelInfo.xml><?xml version="1.0" encoding="utf-8"?>
<clbl:labelList xmlns:clbl="http://schemas.microsoft.com/office/2020/mipLabelMetadata">
  <clbl:label id="{37cadf44-3c1b-4c91-a356-e885893e183a}" enabled="0" method="" siteId="{37cadf44-3c1b-4c91-a356-e885893e183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2026-02-25T09:48:22Z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0x010100227C8883F200AE4AA7DC677F98F1DD40</vt:lpwstr>
  </property>
</Properties>
</file>