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0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rmnext-my.sharepoint.com/personal/avinash_gaur_businessnext_com/Documents/"/>
    </mc:Choice>
  </mc:AlternateContent>
  <xr:revisionPtr revIDLastSave="0" documentId="8_{978BB898-DEEA-4F77-BA5A-AEE48742D05B}" xr6:coauthVersionLast="47" xr6:coauthVersionMax="47" xr10:uidLastSave="{00000000-0000-0000-0000-000000000000}"/>
  <bookViews>
    <workbookView xWindow="-110" yWindow="-110" windowWidth="19420" windowHeight="10300" firstSheet="5" activeTab="4" xr2:uid="{00000000-000D-0000-FFFF-FFFF00000000}"/>
  </bookViews>
  <sheets>
    <sheet name="Assumptions OnCloud" sheetId="12" r:id="rId1"/>
    <sheet name="Predictive Training Env" sheetId="20" r:id="rId2"/>
    <sheet name="Predictive Prod" sheetId="21" r:id="rId3"/>
    <sheet name="GenAi Training" sheetId="11" r:id="rId4"/>
    <sheet name="GenAi Prod" sheetId="16" r:id="rId5"/>
    <sheet name="Agentic AI UAT" sheetId="22" r:id="rId6"/>
    <sheet name="Agentic AI Prod" sheetId="23" r:id="rId7"/>
    <sheet name="Software requirements" sheetId="9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7" i="23" l="1"/>
  <c r="D17" i="22"/>
  <c r="I6" i="11"/>
  <c r="H6" i="11"/>
  <c r="I17" i="20"/>
  <c r="H17" i="20"/>
  <c r="H5" i="21"/>
  <c r="I5" i="21"/>
  <c r="H6" i="21"/>
  <c r="I6" i="21"/>
  <c r="D11" i="21" s="1"/>
  <c r="H5" i="20"/>
  <c r="I5" i="20"/>
  <c r="H6" i="20"/>
  <c r="I6" i="20"/>
  <c r="H7" i="20"/>
  <c r="I7" i="20"/>
  <c r="H8" i="20"/>
  <c r="I8" i="20"/>
  <c r="H9" i="20"/>
  <c r="I9" i="20"/>
  <c r="H10" i="20"/>
  <c r="I10" i="20"/>
  <c r="H11" i="20"/>
  <c r="I11" i="20"/>
  <c r="H12" i="20"/>
  <c r="I12" i="20"/>
  <c r="H13" i="20"/>
  <c r="I13" i="20"/>
  <c r="H14" i="20"/>
  <c r="I14" i="20"/>
  <c r="H15" i="20"/>
  <c r="I15" i="20"/>
  <c r="H16" i="20"/>
  <c r="I16" i="20"/>
  <c r="I6" i="16"/>
  <c r="I7" i="11"/>
  <c r="H7" i="11"/>
  <c r="I5" i="11"/>
  <c r="H5" i="11"/>
  <c r="I7" i="16"/>
  <c r="H7" i="16"/>
  <c r="I5" i="16"/>
  <c r="D12" i="16" s="1"/>
  <c r="H5" i="16"/>
  <c r="H6" i="16"/>
  <c r="H17" i="23" l="1"/>
  <c r="G17" i="23"/>
  <c r="H17" i="22"/>
  <c r="G17" i="22"/>
  <c r="D21" i="20"/>
  <c r="D12" i="11"/>
  <c r="G12" i="11"/>
  <c r="H12" i="16"/>
  <c r="G11" i="21" l="1"/>
  <c r="H11" i="21"/>
  <c r="G21" i="20"/>
  <c r="H21" i="20"/>
  <c r="H12" i="11"/>
  <c r="G12" i="16"/>
</calcChain>
</file>

<file path=xl/sharedStrings.xml><?xml version="1.0" encoding="utf-8"?>
<sst xmlns="http://schemas.openxmlformats.org/spreadsheetml/2006/main" count="554" uniqueCount="166">
  <si>
    <t>Assumptions &amp; Pricing (OnCloud)</t>
  </si>
  <si>
    <t>Assumptions</t>
  </si>
  <si>
    <t>Values</t>
  </si>
  <si>
    <t>Remarks</t>
  </si>
  <si>
    <t>Total Active users</t>
  </si>
  <si>
    <t>Total CRM Concurrent Users</t>
  </si>
  <si>
    <t>RPS for Gen AI Summerization</t>
  </si>
  <si>
    <t>Total No of accounts</t>
  </si>
  <si>
    <t>90 lakhs</t>
  </si>
  <si>
    <t>Total No of leads</t>
  </si>
  <si>
    <t>9 lakhs</t>
  </si>
  <si>
    <t>Total Agentic AI Concurrent Users</t>
  </si>
  <si>
    <t>Usecases</t>
  </si>
  <si>
    <t>Cross Sell - Agent</t>
  </si>
  <si>
    <t>Agentic AI</t>
  </si>
  <si>
    <t>Weath RM Copilot Agent</t>
  </si>
  <si>
    <t>Outreach Agent - Auto Activities and Follow-Ups</t>
  </si>
  <si>
    <t>SR Categorisation</t>
  </si>
  <si>
    <t>Private Wealth AI KYC Co-Pilot</t>
  </si>
  <si>
    <t xml:space="preserve">Suggested Response </t>
  </si>
  <si>
    <t>Generative AI</t>
  </si>
  <si>
    <t>STT and Call Summariser (Support Mandarin)</t>
  </si>
  <si>
    <t>Customer Summary</t>
  </si>
  <si>
    <t>Voice Analyser and Summary</t>
  </si>
  <si>
    <t xml:space="preserve">Case Summary </t>
  </si>
  <si>
    <t>Next Best Action</t>
  </si>
  <si>
    <t>Predictive AI</t>
  </si>
  <si>
    <t>Lead Scoring and AI Based Assignment Rule</t>
  </si>
  <si>
    <t>Month End Sales Forcesating</t>
  </si>
  <si>
    <t>Churn Score</t>
  </si>
  <si>
    <t>Opportunity Scoring</t>
  </si>
  <si>
    <t>Probability to Escalate</t>
  </si>
  <si>
    <t>Knowledge Article Recommender</t>
  </si>
  <si>
    <t> </t>
  </si>
  <si>
    <t>3k Input token / 500  Ouput Token</t>
  </si>
  <si>
    <t>real time prediction only</t>
  </si>
  <si>
    <t>hosted LLM APIs - Bedrock</t>
  </si>
  <si>
    <t>TRAINING ENVIONMENT</t>
  </si>
  <si>
    <t>DataNext  Services</t>
  </si>
  <si>
    <t>S.No</t>
  </si>
  <si>
    <t>Category</t>
  </si>
  <si>
    <t xml:space="preserve">Service Name </t>
  </si>
  <si>
    <t>CPU Cores Per Pod</t>
  </si>
  <si>
    <t>Memory(GB) Per Pod</t>
  </si>
  <si>
    <t>POD Counts</t>
  </si>
  <si>
    <t>Total Memory (GB)</t>
  </si>
  <si>
    <t>Total Cores</t>
  </si>
  <si>
    <t>Persistent storage requirement</t>
  </si>
  <si>
    <t>Storage</t>
  </si>
  <si>
    <t>Type</t>
  </si>
  <si>
    <t xml:space="preserve">Port Opening Req </t>
  </si>
  <si>
    <t>Application Type</t>
  </si>
  <si>
    <t>Incoming Traffic</t>
  </si>
  <si>
    <t>Outgoing Traffic</t>
  </si>
  <si>
    <t>Data Platform</t>
  </si>
  <si>
    <t>Config-service</t>
  </si>
  <si>
    <t>N</t>
  </si>
  <si>
    <t>Internal</t>
  </si>
  <si>
    <t>No</t>
  </si>
  <si>
    <t>gRPC</t>
  </si>
  <si>
    <t>Runtime, Datastore, Scheduler</t>
  </si>
  <si>
    <t>Rest API Service</t>
  </si>
  <si>
    <t>Dataflowengine</t>
  </si>
  <si>
    <t>Scheduler</t>
  </si>
  <si>
    <t>Datastore, Runtime</t>
  </si>
  <si>
    <t>Datastore</t>
  </si>
  <si>
    <t xml:space="preserve">Internal / External </t>
  </si>
  <si>
    <t>Yes</t>
  </si>
  <si>
    <t xml:space="preserve">Dataflowengine, External </t>
  </si>
  <si>
    <t>Config-service, Cassandra, Rest API Service, Client DBs</t>
  </si>
  <si>
    <t>Runtime</t>
  </si>
  <si>
    <t>Dataflowengine, Scheduler, External</t>
  </si>
  <si>
    <t>Scheduler, config-service</t>
  </si>
  <si>
    <t xml:space="preserve">Dataflowengine, MS SQL </t>
  </si>
  <si>
    <t>Apache Spark Cluster ( Job Manager )</t>
  </si>
  <si>
    <t>Y</t>
  </si>
  <si>
    <t>REST API</t>
  </si>
  <si>
    <t>Runtime, Datastore</t>
  </si>
  <si>
    <t>Apache Spark Cluster ( Worker Node)</t>
  </si>
  <si>
    <t>Predictive + DataPlatform</t>
  </si>
  <si>
    <t>Minio</t>
  </si>
  <si>
    <t>400 GB</t>
  </si>
  <si>
    <t>DB</t>
  </si>
  <si>
    <t>AI Trainer, AI Evaluator</t>
  </si>
  <si>
    <t>Hive Meta Store</t>
  </si>
  <si>
    <t>Trino Master</t>
  </si>
  <si>
    <t>Trino Worker</t>
  </si>
  <si>
    <t>Predictive</t>
  </si>
  <si>
    <t>AI Trainer</t>
  </si>
  <si>
    <t xml:space="preserve">Predictive </t>
  </si>
  <si>
    <t>AI evaluator</t>
  </si>
  <si>
    <t>Kubernetes Cluster Configuration</t>
  </si>
  <si>
    <t>Node Type</t>
  </si>
  <si>
    <t>Number</t>
  </si>
  <si>
    <t>Physical Cores</t>
  </si>
  <si>
    <t>Memory GB 
(Each Node)</t>
  </si>
  <si>
    <t>Total Physical Cores</t>
  </si>
  <si>
    <t>SSD Storage</t>
  </si>
  <si>
    <t>Processor Type</t>
  </si>
  <si>
    <t>Worker</t>
  </si>
  <si>
    <t>500 GB</t>
  </si>
  <si>
    <t>Intel Xeon i7</t>
  </si>
  <si>
    <t>Note:</t>
  </si>
  <si>
    <t>Above sizing is indicative as per results of product load testing executed in our lab, on a dedicated physical machine cluster with the following configurations and load. These are indicative sizings, subject to change as per complexity.</t>
  </si>
  <si>
    <t>Common</t>
  </si>
  <si>
    <t xml:space="preserve">AI Evaluator </t>
  </si>
  <si>
    <t>Dataflowengine, External</t>
  </si>
  <si>
    <t>GPU</t>
  </si>
  <si>
    <t>250 GB</t>
  </si>
  <si>
    <t>GPU required</t>
  </si>
  <si>
    <t>300 GB</t>
  </si>
  <si>
    <t>WorkNext</t>
  </si>
  <si>
    <t>Datanext GenAI</t>
  </si>
  <si>
    <t>200 GB</t>
  </si>
  <si>
    <t>Bedrock</t>
  </si>
  <si>
    <t>Databases</t>
  </si>
  <si>
    <t>CRM Database(SQL DB)</t>
  </si>
  <si>
    <t>100 GB</t>
  </si>
  <si>
    <t>GenAI</t>
  </si>
  <si>
    <t>Worknext</t>
  </si>
  <si>
    <t>GPU - with HA</t>
  </si>
  <si>
    <t>Predictive + GenAI</t>
  </si>
  <si>
    <t>Agent</t>
  </si>
  <si>
    <t>businessnext-crmmeta</t>
  </si>
  <si>
    <t>businessnext-runtime</t>
  </si>
  <si>
    <t>businessnext-sessionmanager</t>
  </si>
  <si>
    <t>businessnext-mcpserver</t>
  </si>
  <si>
    <t>Agent hub</t>
  </si>
  <si>
    <t>datanext-guardrails-service</t>
  </si>
  <si>
    <t>800 GB</t>
  </si>
  <si>
    <t>GPU - Bedrock</t>
  </si>
  <si>
    <t>Vector DB (Milvus)</t>
  </si>
  <si>
    <t xml:space="preserve">* Businessnext services will be available </t>
  </si>
  <si>
    <t>1 TB</t>
  </si>
  <si>
    <t>Environment software prerequisites</t>
  </si>
  <si>
    <t>Software</t>
  </si>
  <si>
    <t>Version</t>
  </si>
  <si>
    <t>Kubernetes Distribution</t>
  </si>
  <si>
    <t>1.15.5</t>
  </si>
  <si>
    <t>Server Component</t>
  </si>
  <si>
    <t>OS for Kubernetes</t>
  </si>
  <si>
    <t>RedHat 7.5,</t>
  </si>
  <si>
    <t>Operating System (Linux)</t>
  </si>
  <si>
    <t>Or</t>
  </si>
  <si>
    <t>Ubuntu 22.04 LTF</t>
  </si>
  <si>
    <t>Docker</t>
  </si>
  <si>
    <t>19.3.1</t>
  </si>
  <si>
    <t>Python</t>
  </si>
  <si>
    <t>3.11 +</t>
  </si>
  <si>
    <t>Language/Framework</t>
  </si>
  <si>
    <t>grpc</t>
  </si>
  <si>
    <t>Library</t>
  </si>
  <si>
    <t>DOT NET CORE</t>
  </si>
  <si>
    <t>8.0+</t>
  </si>
  <si>
    <t xml:space="preserve">Log Time Series Storage provider </t>
  </si>
  <si>
    <t xml:space="preserve">Prometheus / influx DB / Elastic search (Latest Version) </t>
  </si>
  <si>
    <t>Component</t>
  </si>
  <si>
    <t xml:space="preserve">Hardware Monitoring </t>
  </si>
  <si>
    <t>Graphana / Kibana (Latest Version)</t>
  </si>
  <si>
    <t>Kubernetes Persistent Volume Provider</t>
  </si>
  <si>
    <t>ROOK / CEPH (Latest Version)</t>
  </si>
  <si>
    <t>HTTP Proxy (NGNIX)</t>
  </si>
  <si>
    <t>As per Kubernetes provider</t>
  </si>
  <si>
    <t>Base image Linux OS</t>
  </si>
  <si>
    <t> As per Kubernetes provider</t>
  </si>
  <si>
    <t>HTTPS certificate for API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</si>
</sst>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1"/>
      <name val="Calibri"/>
      <family val="2"/>
    </font>
    <font>
      <b/>
      <sz val="10"/>
      <color rgb="FF000000"/>
      <name val="Calibri"/>
      <family val="2"/>
    </font>
    <font>
      <sz val="10"/>
      <color theme="1"/>
      <name val="Calibri"/>
      <family val="2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rgb="FF000000"/>
      <name val="Aptos Narrow"/>
      <family val="2"/>
      <charset val="1"/>
    </font>
    <font>
      <b/>
      <i/>
      <sz val="11"/>
      <color rgb="FF000000"/>
      <name val="Calibri"/>
      <scheme val="minor"/>
    </font>
    <font>
      <sz val="11"/>
      <color rgb="FF000000"/>
      <name val="Calibri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rgb="FF000000"/>
      <name val="Calibri"/>
    </font>
    <font>
      <b/>
      <sz val="11"/>
      <color rgb="FF000000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579BE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3399"/>
      </left>
      <right style="thin">
        <color rgb="FFFF3399"/>
      </right>
      <top style="thin">
        <color rgb="FFFF3399"/>
      </top>
      <bottom style="thin">
        <color rgb="FFFF3399"/>
      </bottom>
      <diagonal/>
    </border>
    <border>
      <left style="thin">
        <color rgb="FFFF3399"/>
      </left>
      <right style="thin">
        <color rgb="FFFF3399"/>
      </right>
      <top style="thin">
        <color rgb="FFFF3399"/>
      </top>
      <bottom/>
      <diagonal/>
    </border>
    <border>
      <left style="thin">
        <color rgb="FFFF3399"/>
      </left>
      <right/>
      <top style="thin">
        <color rgb="FFFF3399"/>
      </top>
      <bottom style="thin">
        <color rgb="FFFF3399"/>
      </bottom>
      <diagonal/>
    </border>
    <border>
      <left/>
      <right/>
      <top style="thin">
        <color rgb="FFFF3399"/>
      </top>
      <bottom style="thin">
        <color rgb="FFFF3399"/>
      </bottom>
      <diagonal/>
    </border>
    <border>
      <left/>
      <right style="thin">
        <color rgb="FFFF3399"/>
      </right>
      <top style="thin">
        <color rgb="FFFF3399"/>
      </top>
      <bottom style="thin">
        <color rgb="FFFF339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E579BE"/>
      </left>
      <right style="thin">
        <color rgb="FFE579BE"/>
      </right>
      <top style="thin">
        <color rgb="FFE579BE"/>
      </top>
      <bottom style="thin">
        <color rgb="FFE579BE"/>
      </bottom>
      <diagonal/>
    </border>
    <border>
      <left style="thin">
        <color rgb="FFE579BE"/>
      </left>
      <right/>
      <top style="thin">
        <color rgb="FFE579BE"/>
      </top>
      <bottom style="thin">
        <color rgb="FFE579BE"/>
      </bottom>
      <diagonal/>
    </border>
    <border>
      <left style="thin">
        <color rgb="FFE579BE"/>
      </left>
      <right style="thin">
        <color rgb="FFE579BE"/>
      </right>
      <top style="thin">
        <color rgb="FFE579BE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FF3399"/>
      </left>
      <right style="thin">
        <color rgb="FFFF3399"/>
      </right>
      <top/>
      <bottom style="thin">
        <color rgb="FFFF3399"/>
      </bottom>
      <diagonal/>
    </border>
    <border>
      <left style="thin">
        <color rgb="FFFF3399"/>
      </left>
      <right style="thin">
        <color rgb="FFFF3399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2">
    <xf numFmtId="0" fontId="0" fillId="0" borderId="0" xfId="0"/>
    <xf numFmtId="0" fontId="0" fillId="3" borderId="0" xfId="0" applyFill="1"/>
    <xf numFmtId="0" fontId="4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wrapText="1"/>
    </xf>
    <xf numFmtId="0" fontId="1" fillId="4" borderId="3" xfId="0" applyFont="1" applyFill="1" applyBorder="1" applyAlignment="1">
      <alignment horizontal="center" vertical="center" wrapText="1"/>
    </xf>
    <xf numFmtId="0" fontId="0" fillId="0" borderId="3" xfId="0" applyBorder="1"/>
    <xf numFmtId="0" fontId="1" fillId="0" borderId="3" xfId="0" applyFont="1" applyBorder="1"/>
    <xf numFmtId="0" fontId="0" fillId="0" borderId="3" xfId="0" applyBorder="1" applyAlignment="1">
      <alignment horizontal="center"/>
    </xf>
    <xf numFmtId="0" fontId="1" fillId="4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wrapText="1"/>
    </xf>
    <xf numFmtId="0" fontId="1" fillId="3" borderId="3" xfId="0" applyFont="1" applyFill="1" applyBorder="1"/>
    <xf numFmtId="0" fontId="0" fillId="0" borderId="3" xfId="0" applyBorder="1" applyAlignment="1">
      <alignment horizontal="center" vertical="center"/>
    </xf>
    <xf numFmtId="0" fontId="0" fillId="3" borderId="3" xfId="0" applyFill="1" applyBorder="1" applyAlignment="1">
      <alignment horizontal="center"/>
    </xf>
    <xf numFmtId="0" fontId="0" fillId="3" borderId="3" xfId="0" applyFill="1" applyBorder="1"/>
    <xf numFmtId="0" fontId="2" fillId="3" borderId="3" xfId="1" applyFill="1" applyBorder="1"/>
    <xf numFmtId="0" fontId="1" fillId="4" borderId="4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vertical="center" wrapText="1"/>
    </xf>
    <xf numFmtId="0" fontId="9" fillId="4" borderId="0" xfId="0" applyFont="1" applyFill="1" applyAlignment="1">
      <alignment wrapText="1"/>
    </xf>
    <xf numFmtId="0" fontId="0" fillId="0" borderId="8" xfId="0" applyBorder="1"/>
    <xf numFmtId="0" fontId="1" fillId="0" borderId="8" xfId="0" applyFont="1" applyBorder="1"/>
    <xf numFmtId="0" fontId="7" fillId="4" borderId="9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wrapText="1"/>
    </xf>
    <xf numFmtId="0" fontId="1" fillId="3" borderId="10" xfId="0" applyFont="1" applyFill="1" applyBorder="1" applyAlignment="1">
      <alignment horizontal="center" vertical="center"/>
    </xf>
    <xf numFmtId="0" fontId="1" fillId="3" borderId="10" xfId="0" applyFont="1" applyFill="1" applyBorder="1"/>
    <xf numFmtId="0" fontId="0" fillId="0" borderId="10" xfId="0" applyBorder="1" applyAlignment="1">
      <alignment horizontal="center" vertical="center"/>
    </xf>
    <xf numFmtId="0" fontId="0" fillId="3" borderId="10" xfId="0" applyFill="1" applyBorder="1"/>
    <xf numFmtId="0" fontId="1" fillId="0" borderId="10" xfId="0" applyFont="1" applyBorder="1"/>
    <xf numFmtId="0" fontId="1" fillId="0" borderId="10" xfId="0" applyFont="1" applyBorder="1" applyAlignment="1">
      <alignment horizontal="center" vertical="center"/>
    </xf>
    <xf numFmtId="0" fontId="0" fillId="3" borderId="8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8" xfId="0" applyFill="1" applyBorder="1"/>
    <xf numFmtId="0" fontId="0" fillId="3" borderId="3" xfId="0" applyFill="1" applyBorder="1" applyAlignment="1">
      <alignment horizontal="center" vertical="center"/>
    </xf>
    <xf numFmtId="0" fontId="0" fillId="3" borderId="4" xfId="0" applyFill="1" applyBorder="1"/>
    <xf numFmtId="0" fontId="0" fillId="3" borderId="4" xfId="0" applyFill="1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3" borderId="0" xfId="0" applyFill="1" applyAlignment="1">
      <alignment horizontal="center"/>
    </xf>
    <xf numFmtId="0" fontId="1" fillId="3" borderId="8" xfId="0" applyFont="1" applyFill="1" applyBorder="1" applyAlignment="1">
      <alignment horizontal="center" vertical="center"/>
    </xf>
    <xf numFmtId="0" fontId="1" fillId="3" borderId="8" xfId="0" applyFont="1" applyFill="1" applyBorder="1"/>
    <xf numFmtId="0" fontId="1" fillId="3" borderId="9" xfId="0" applyFont="1" applyFill="1" applyBorder="1" applyAlignment="1">
      <alignment horizontal="center" vertical="center"/>
    </xf>
    <xf numFmtId="0" fontId="0" fillId="0" borderId="13" xfId="0" applyBorder="1" applyAlignment="1">
      <alignment wrapText="1"/>
    </xf>
    <xf numFmtId="0" fontId="0" fillId="0" borderId="0" xfId="0" applyAlignment="1">
      <alignment horizontal="center"/>
    </xf>
    <xf numFmtId="0" fontId="1" fillId="4" borderId="3" xfId="0" applyFont="1" applyFill="1" applyBorder="1" applyAlignment="1">
      <alignment vertical="center"/>
    </xf>
    <xf numFmtId="0" fontId="1" fillId="4" borderId="4" xfId="0" applyFont="1" applyFill="1" applyBorder="1" applyAlignment="1">
      <alignment horizontal="center" vertical="center"/>
    </xf>
    <xf numFmtId="0" fontId="8" fillId="4" borderId="3" xfId="0" applyFont="1" applyFill="1" applyBorder="1" applyAlignment="1">
      <alignment vertical="center"/>
    </xf>
    <xf numFmtId="0" fontId="0" fillId="3" borderId="5" xfId="0" applyFill="1" applyBorder="1"/>
    <xf numFmtId="0" fontId="0" fillId="0" borderId="14" xfId="0" applyBorder="1"/>
    <xf numFmtId="0" fontId="0" fillId="3" borderId="5" xfId="0" applyFill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0" xfId="0" applyAlignment="1">
      <alignment horizontal="center" wrapText="1"/>
    </xf>
    <xf numFmtId="0" fontId="15" fillId="0" borderId="0" xfId="0" applyFont="1"/>
    <xf numFmtId="0" fontId="15" fillId="0" borderId="0" xfId="0" applyFont="1" applyAlignment="1">
      <alignment wrapText="1"/>
    </xf>
    <xf numFmtId="0" fontId="1" fillId="3" borderId="10" xfId="0" applyFont="1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1" fillId="0" borderId="15" xfId="0" applyFont="1" applyBorder="1" applyAlignment="1">
      <alignment wrapText="1"/>
    </xf>
    <xf numFmtId="0" fontId="1" fillId="3" borderId="15" xfId="0" applyFont="1" applyFill="1" applyBorder="1"/>
    <xf numFmtId="0" fontId="0" fillId="3" borderId="15" xfId="0" applyFill="1" applyBorder="1" applyAlignment="1">
      <alignment horizontal="center"/>
    </xf>
    <xf numFmtId="0" fontId="0" fillId="0" borderId="15" xfId="0" applyBorder="1" applyAlignment="1">
      <alignment horizontal="center" vertical="center"/>
    </xf>
    <xf numFmtId="0" fontId="0" fillId="3" borderId="15" xfId="0" applyFill="1" applyBorder="1"/>
    <xf numFmtId="0" fontId="1" fillId="0" borderId="0" xfId="0" applyFont="1"/>
    <xf numFmtId="0" fontId="1" fillId="0" borderId="11" xfId="0" applyFont="1" applyBorder="1"/>
    <xf numFmtId="0" fontId="1" fillId="0" borderId="3" xfId="0" applyFont="1" applyBorder="1" applyAlignment="1">
      <alignment horizontal="center" vertical="center"/>
    </xf>
    <xf numFmtId="0" fontId="0" fillId="0" borderId="10" xfId="0" applyBorder="1"/>
    <xf numFmtId="0" fontId="0" fillId="0" borderId="10" xfId="0" applyBorder="1" applyAlignment="1">
      <alignment horizontal="center"/>
    </xf>
    <xf numFmtId="0" fontId="7" fillId="4" borderId="4" xfId="0" applyFont="1" applyFill="1" applyBorder="1" applyAlignment="1">
      <alignment horizontal="center" vertical="center"/>
    </xf>
    <xf numFmtId="0" fontId="1" fillId="4" borderId="16" xfId="0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/>
    </xf>
    <xf numFmtId="0" fontId="1" fillId="0" borderId="4" xfId="0" applyFont="1" applyBorder="1"/>
    <xf numFmtId="0" fontId="1" fillId="3" borderId="16" xfId="0" applyFont="1" applyFill="1" applyBorder="1"/>
    <xf numFmtId="0" fontId="0" fillId="0" borderId="16" xfId="0" applyBorder="1" applyAlignment="1">
      <alignment horizontal="center" vertical="center"/>
    </xf>
    <xf numFmtId="0" fontId="0" fillId="3" borderId="16" xfId="0" applyFill="1" applyBorder="1" applyAlignment="1">
      <alignment horizontal="center"/>
    </xf>
    <xf numFmtId="0" fontId="0" fillId="3" borderId="16" xfId="0" applyFill="1" applyBorder="1"/>
    <xf numFmtId="0" fontId="11" fillId="3" borderId="4" xfId="0" applyFont="1" applyFill="1" applyBorder="1" applyAlignment="1">
      <alignment wrapText="1"/>
    </xf>
    <xf numFmtId="0" fontId="12" fillId="3" borderId="8" xfId="0" applyFont="1" applyFill="1" applyBorder="1" applyAlignment="1">
      <alignment wrapText="1"/>
    </xf>
    <xf numFmtId="0" fontId="13" fillId="3" borderId="8" xfId="0" applyFont="1" applyFill="1" applyBorder="1"/>
    <xf numFmtId="0" fontId="14" fillId="0" borderId="8" xfId="0" applyFont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16" fillId="0" borderId="0" xfId="0" applyFont="1"/>
    <xf numFmtId="0" fontId="9" fillId="4" borderId="0" xfId="0" applyFont="1" applyFill="1" applyAlignment="1">
      <alignment horizontal="left" wrapText="1"/>
    </xf>
    <xf numFmtId="0" fontId="8" fillId="4" borderId="3" xfId="0" applyFont="1" applyFill="1" applyBorder="1" applyAlignment="1">
      <alignment horizontal="left"/>
    </xf>
    <xf numFmtId="0" fontId="8" fillId="4" borderId="5" xfId="0" applyFont="1" applyFill="1" applyBorder="1" applyAlignment="1">
      <alignment horizontal="left" vertical="center" wrapText="1"/>
    </xf>
    <xf numFmtId="0" fontId="8" fillId="4" borderId="6" xfId="0" applyFont="1" applyFill="1" applyBorder="1" applyAlignment="1">
      <alignment horizontal="left" vertical="center" wrapText="1"/>
    </xf>
    <xf numFmtId="0" fontId="8" fillId="4" borderId="7" xfId="0" applyFont="1" applyFill="1" applyBorder="1" applyAlignment="1">
      <alignment horizontal="left" vertical="center" wrapText="1"/>
    </xf>
    <xf numFmtId="0" fontId="0" fillId="0" borderId="0" xfId="0" applyAlignment="1">
      <alignment horizontal="center" wrapText="1"/>
    </xf>
    <xf numFmtId="0" fontId="9" fillId="4" borderId="10" xfId="0" applyFont="1" applyFill="1" applyBorder="1" applyAlignment="1">
      <alignment horizontal="left" wrapText="1"/>
    </xf>
    <xf numFmtId="0" fontId="8" fillId="4" borderId="10" xfId="0" applyFont="1" applyFill="1" applyBorder="1" applyAlignment="1">
      <alignment horizontal="left"/>
    </xf>
    <xf numFmtId="0" fontId="8" fillId="4" borderId="3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colors>
    <mruColors>
      <color rgb="FFE579B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8E683-CB03-4D34-9E26-D862CA8FC89C}">
  <dimension ref="B1:D41"/>
  <sheetViews>
    <sheetView showGridLines="0" zoomScale="85" zoomScaleNormal="85" workbookViewId="0">
      <selection activeCell="F23" sqref="F23"/>
    </sheetView>
  </sheetViews>
  <sheetFormatPr defaultRowHeight="14.45"/>
  <cols>
    <col min="2" max="2" width="61" customWidth="1"/>
    <col min="3" max="3" width="17.28515625" customWidth="1"/>
    <col min="4" max="4" width="51.7109375" bestFit="1" customWidth="1"/>
  </cols>
  <sheetData>
    <row r="1" spans="2:4" ht="18.600000000000001">
      <c r="B1" s="19" t="s">
        <v>0</v>
      </c>
    </row>
    <row r="3" spans="2:4">
      <c r="B3" s="67" t="s">
        <v>1</v>
      </c>
      <c r="C3" s="67" t="s">
        <v>2</v>
      </c>
      <c r="D3" s="67" t="s">
        <v>3</v>
      </c>
    </row>
    <row r="4" spans="2:4">
      <c r="B4" s="65" t="s">
        <v>4</v>
      </c>
      <c r="C4" s="66">
        <v>1000</v>
      </c>
      <c r="D4" s="65"/>
    </row>
    <row r="5" spans="2:4">
      <c r="B5" s="65" t="s">
        <v>5</v>
      </c>
      <c r="C5" s="66">
        <v>300</v>
      </c>
      <c r="D5" s="65"/>
    </row>
    <row r="6" spans="2:4">
      <c r="B6" s="65" t="s">
        <v>6</v>
      </c>
      <c r="C6" s="66">
        <v>100</v>
      </c>
      <c r="D6" s="65"/>
    </row>
    <row r="7" spans="2:4" ht="15">
      <c r="B7" s="65" t="s">
        <v>7</v>
      </c>
      <c r="C7" s="66" t="s">
        <v>8</v>
      </c>
      <c r="D7" s="65"/>
    </row>
    <row r="8" spans="2:4" ht="15">
      <c r="B8" s="65" t="s">
        <v>9</v>
      </c>
      <c r="C8" s="66" t="s">
        <v>10</v>
      </c>
      <c r="D8" s="65"/>
    </row>
    <row r="9" spans="2:4" ht="15">
      <c r="B9" s="65" t="s">
        <v>11</v>
      </c>
      <c r="C9" s="66">
        <v>100</v>
      </c>
      <c r="D9" s="65"/>
    </row>
    <row r="10" spans="2:4">
      <c r="B10" s="65"/>
      <c r="C10" s="65"/>
      <c r="D10" s="65"/>
    </row>
    <row r="11" spans="2:4">
      <c r="B11" s="65"/>
      <c r="C11" s="65"/>
      <c r="D11" s="65"/>
    </row>
    <row r="12" spans="2:4" ht="15"/>
    <row r="14" spans="2:4" ht="15">
      <c r="B14" s="22" t="s">
        <v>12</v>
      </c>
    </row>
    <row r="15" spans="2:4" ht="15">
      <c r="B15" s="23" t="s">
        <v>13</v>
      </c>
      <c r="C15" s="23" t="s">
        <v>14</v>
      </c>
      <c r="D15" s="23"/>
    </row>
    <row r="16" spans="2:4" ht="15">
      <c r="B16" s="23" t="s">
        <v>15</v>
      </c>
      <c r="C16" s="23" t="s">
        <v>14</v>
      </c>
      <c r="D16" s="23"/>
    </row>
    <row r="17" spans="2:4" ht="15">
      <c r="B17" s="23" t="s">
        <v>16</v>
      </c>
      <c r="C17" s="23" t="s">
        <v>14</v>
      </c>
      <c r="D17" s="23"/>
    </row>
    <row r="18" spans="2:4" ht="15">
      <c r="B18" s="23" t="s">
        <v>17</v>
      </c>
      <c r="C18" t="s">
        <v>14</v>
      </c>
      <c r="D18" s="23"/>
    </row>
    <row r="19" spans="2:4" ht="15">
      <c r="B19" s="23" t="s">
        <v>18</v>
      </c>
      <c r="C19" s="23" t="s">
        <v>14</v>
      </c>
      <c r="D19" s="23"/>
    </row>
    <row r="20" spans="2:4" ht="15">
      <c r="B20" s="23" t="s">
        <v>19</v>
      </c>
      <c r="C20" s="23" t="s">
        <v>20</v>
      </c>
      <c r="D20" s="23"/>
    </row>
    <row r="21" spans="2:4" ht="15">
      <c r="B21" s="23" t="s">
        <v>21</v>
      </c>
      <c r="C21" s="23" t="s">
        <v>20</v>
      </c>
      <c r="D21" s="23"/>
    </row>
    <row r="22" spans="2:4" ht="15">
      <c r="B22" s="23" t="s">
        <v>22</v>
      </c>
      <c r="C22" s="23" t="s">
        <v>20</v>
      </c>
      <c r="D22" s="23"/>
    </row>
    <row r="23" spans="2:4" ht="15">
      <c r="B23" s="23" t="s">
        <v>23</v>
      </c>
      <c r="C23" s="23" t="s">
        <v>20</v>
      </c>
      <c r="D23" s="23"/>
    </row>
    <row r="24" spans="2:4" ht="15">
      <c r="B24" s="23" t="s">
        <v>24</v>
      </c>
      <c r="C24" s="23" t="s">
        <v>20</v>
      </c>
      <c r="D24" s="23"/>
    </row>
    <row r="25" spans="2:4" ht="15">
      <c r="B25" s="23" t="s">
        <v>25</v>
      </c>
      <c r="C25" s="23" t="s">
        <v>26</v>
      </c>
      <c r="D25" s="23"/>
    </row>
    <row r="26" spans="2:4" ht="15">
      <c r="B26" s="23" t="s">
        <v>27</v>
      </c>
      <c r="C26" s="23" t="s">
        <v>26</v>
      </c>
      <c r="D26" s="23"/>
    </row>
    <row r="27" spans="2:4" ht="15">
      <c r="B27" s="23" t="s">
        <v>28</v>
      </c>
      <c r="C27" s="23" t="s">
        <v>26</v>
      </c>
      <c r="D27" s="23"/>
    </row>
    <row r="28" spans="2:4" ht="15">
      <c r="B28" s="23" t="s">
        <v>29</v>
      </c>
      <c r="C28" s="23" t="s">
        <v>26</v>
      </c>
      <c r="D28" s="23"/>
    </row>
    <row r="29" spans="2:4" ht="15">
      <c r="B29" s="23" t="s">
        <v>30</v>
      </c>
      <c r="C29" s="23" t="s">
        <v>26</v>
      </c>
      <c r="D29" s="23"/>
    </row>
    <row r="30" spans="2:4" ht="15">
      <c r="B30" s="23" t="s">
        <v>31</v>
      </c>
      <c r="C30" s="23" t="s">
        <v>26</v>
      </c>
      <c r="D30" s="23"/>
    </row>
    <row r="31" spans="2:4" ht="15">
      <c r="B31" s="23" t="s">
        <v>32</v>
      </c>
      <c r="C31" s="23" t="s">
        <v>26</v>
      </c>
      <c r="D31" s="23"/>
    </row>
    <row r="32" spans="2:4" ht="15">
      <c r="B32" s="23"/>
      <c r="C32" s="23"/>
      <c r="D32" s="23"/>
    </row>
    <row r="33" spans="2:4" ht="15">
      <c r="B33" s="23"/>
      <c r="C33" s="23"/>
      <c r="D33" s="23"/>
    </row>
    <row r="34" spans="2:4" ht="15">
      <c r="B34" s="23"/>
      <c r="C34" s="23" t="s">
        <v>33</v>
      </c>
      <c r="D34" s="23"/>
    </row>
    <row r="35" spans="2:4" ht="15"/>
    <row r="36" spans="2:4" ht="15"/>
    <row r="37" spans="2:4" ht="15"/>
    <row r="38" spans="2:4" ht="15">
      <c r="B38" s="20" t="s">
        <v>34</v>
      </c>
    </row>
    <row r="39" spans="2:4" ht="15">
      <c r="B39" s="20" t="s">
        <v>35</v>
      </c>
    </row>
    <row r="40" spans="2:4" ht="15">
      <c r="B40" s="20" t="s">
        <v>36</v>
      </c>
    </row>
    <row r="41" spans="2:4" ht="15">
      <c r="B41" s="4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8FFFA-DE9E-40C4-A570-1FEF48D4A8FF}">
  <dimension ref="B1:P31"/>
  <sheetViews>
    <sheetView workbookViewId="0">
      <selection activeCell="L10" sqref="L10"/>
    </sheetView>
  </sheetViews>
  <sheetFormatPr defaultRowHeight="15"/>
  <cols>
    <col min="2" max="2" width="12.7109375" customWidth="1"/>
    <col min="3" max="3" width="22.28515625" customWidth="1"/>
    <col min="4" max="4" width="35.140625" bestFit="1" customWidth="1"/>
    <col min="5" max="5" width="21.140625" customWidth="1"/>
    <col min="6" max="6" width="16.85546875" customWidth="1"/>
    <col min="7" max="7" width="20.42578125" customWidth="1"/>
    <col min="8" max="8" width="16.5703125" customWidth="1"/>
    <col min="9" max="9" width="18.28515625" customWidth="1"/>
    <col min="10" max="10" width="31.5703125" customWidth="1"/>
    <col min="11" max="11" width="20" customWidth="1"/>
    <col min="12" max="12" width="34.28515625" customWidth="1"/>
    <col min="13" max="13" width="21.7109375" customWidth="1"/>
    <col min="14" max="14" width="20.85546875" customWidth="1"/>
    <col min="15" max="15" width="39" customWidth="1"/>
    <col min="16" max="16" width="33.140625" customWidth="1"/>
  </cols>
  <sheetData>
    <row r="1" spans="2:16" ht="18.75">
      <c r="B1" s="87" t="s">
        <v>37</v>
      </c>
      <c r="C1" s="87"/>
      <c r="D1" s="87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</row>
    <row r="2" spans="2:16"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</row>
    <row r="3" spans="2:16" ht="15.75">
      <c r="B3" s="88" t="s">
        <v>38</v>
      </c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8"/>
      <c r="P3" s="88"/>
    </row>
    <row r="4" spans="2:16" ht="29.25" customHeight="1">
      <c r="B4" s="68" t="s">
        <v>39</v>
      </c>
      <c r="C4" s="68" t="s">
        <v>40</v>
      </c>
      <c r="D4" s="68" t="s">
        <v>41</v>
      </c>
      <c r="E4" s="68" t="s">
        <v>42</v>
      </c>
      <c r="F4" s="68" t="s">
        <v>43</v>
      </c>
      <c r="G4" s="68" t="s">
        <v>44</v>
      </c>
      <c r="H4" s="68" t="s">
        <v>45</v>
      </c>
      <c r="I4" s="68" t="s">
        <v>46</v>
      </c>
      <c r="J4" s="68" t="s">
        <v>47</v>
      </c>
      <c r="K4" s="68" t="s">
        <v>48</v>
      </c>
      <c r="L4" s="68" t="s">
        <v>49</v>
      </c>
      <c r="M4" s="68" t="s">
        <v>50</v>
      </c>
      <c r="N4" s="68" t="s">
        <v>51</v>
      </c>
      <c r="O4" s="68" t="s">
        <v>52</v>
      </c>
      <c r="P4" s="68" t="s">
        <v>53</v>
      </c>
    </row>
    <row r="5" spans="2:16">
      <c r="B5" s="24">
        <v>1</v>
      </c>
      <c r="C5" s="28" t="s">
        <v>54</v>
      </c>
      <c r="D5" s="25" t="s">
        <v>55</v>
      </c>
      <c r="E5" s="29">
        <v>1</v>
      </c>
      <c r="F5" s="29">
        <v>2</v>
      </c>
      <c r="G5" s="29">
        <v>1</v>
      </c>
      <c r="H5" s="29">
        <f>F5*G5</f>
        <v>2</v>
      </c>
      <c r="I5" s="29">
        <f>E5*G5</f>
        <v>1</v>
      </c>
      <c r="J5" s="29" t="s">
        <v>56</v>
      </c>
      <c r="K5" s="26"/>
      <c r="L5" s="27" t="s">
        <v>57</v>
      </c>
      <c r="M5" s="27" t="s">
        <v>58</v>
      </c>
      <c r="N5" s="27" t="s">
        <v>59</v>
      </c>
      <c r="O5" s="27" t="s">
        <v>60</v>
      </c>
      <c r="P5" s="27" t="s">
        <v>61</v>
      </c>
    </row>
    <row r="6" spans="2:16">
      <c r="B6" s="24">
        <v>2</v>
      </c>
      <c r="C6" s="28" t="s">
        <v>54</v>
      </c>
      <c r="D6" s="25" t="s">
        <v>62</v>
      </c>
      <c r="E6" s="29">
        <v>2</v>
      </c>
      <c r="F6" s="29">
        <v>4</v>
      </c>
      <c r="G6" s="29">
        <v>1</v>
      </c>
      <c r="H6" s="29">
        <f>F6*G6</f>
        <v>4</v>
      </c>
      <c r="I6" s="29">
        <f>E6*G6</f>
        <v>2</v>
      </c>
      <c r="J6" s="29" t="s">
        <v>56</v>
      </c>
      <c r="K6" s="26"/>
      <c r="L6" s="27" t="s">
        <v>57</v>
      </c>
      <c r="M6" s="27" t="s">
        <v>58</v>
      </c>
      <c r="N6" s="27" t="s">
        <v>59</v>
      </c>
      <c r="O6" s="27" t="s">
        <v>63</v>
      </c>
      <c r="P6" s="27" t="s">
        <v>64</v>
      </c>
    </row>
    <row r="7" spans="2:16">
      <c r="B7" s="24">
        <v>3</v>
      </c>
      <c r="C7" s="28" t="s">
        <v>54</v>
      </c>
      <c r="D7" s="25" t="s">
        <v>65</v>
      </c>
      <c r="E7" s="29">
        <v>1</v>
      </c>
      <c r="F7" s="29">
        <v>2</v>
      </c>
      <c r="G7" s="29">
        <v>1</v>
      </c>
      <c r="H7" s="29">
        <f>F7*G7</f>
        <v>2</v>
      </c>
      <c r="I7" s="29">
        <f>E7*G7</f>
        <v>1</v>
      </c>
      <c r="J7" s="29" t="s">
        <v>56</v>
      </c>
      <c r="K7" s="26"/>
      <c r="L7" s="27" t="s">
        <v>66</v>
      </c>
      <c r="M7" s="27" t="s">
        <v>67</v>
      </c>
      <c r="N7" s="27" t="s">
        <v>59</v>
      </c>
      <c r="O7" s="27" t="s">
        <v>68</v>
      </c>
      <c r="P7" s="27" t="s">
        <v>69</v>
      </c>
    </row>
    <row r="8" spans="2:16">
      <c r="B8" s="24">
        <v>4</v>
      </c>
      <c r="C8" s="28" t="s">
        <v>54</v>
      </c>
      <c r="D8" s="25" t="s">
        <v>70</v>
      </c>
      <c r="E8" s="29">
        <v>1</v>
      </c>
      <c r="F8" s="29">
        <v>2</v>
      </c>
      <c r="G8" s="29">
        <v>1</v>
      </c>
      <c r="H8" s="29">
        <f>F8*G8</f>
        <v>2</v>
      </c>
      <c r="I8" s="29">
        <f>E8*G8</f>
        <v>1</v>
      </c>
      <c r="J8" s="29" t="s">
        <v>56</v>
      </c>
      <c r="K8" s="26"/>
      <c r="L8" s="27" t="s">
        <v>66</v>
      </c>
      <c r="M8" s="27" t="s">
        <v>67</v>
      </c>
      <c r="N8" s="27" t="s">
        <v>59</v>
      </c>
      <c r="O8" s="27" t="s">
        <v>71</v>
      </c>
      <c r="P8" s="27" t="s">
        <v>72</v>
      </c>
    </row>
    <row r="9" spans="2:16">
      <c r="B9" s="24">
        <v>5</v>
      </c>
      <c r="C9" s="28" t="s">
        <v>54</v>
      </c>
      <c r="D9" s="25" t="s">
        <v>63</v>
      </c>
      <c r="E9" s="29">
        <v>1</v>
      </c>
      <c r="F9" s="29">
        <v>2</v>
      </c>
      <c r="G9" s="29">
        <v>1</v>
      </c>
      <c r="H9" s="29">
        <f>F9*G9</f>
        <v>2</v>
      </c>
      <c r="I9" s="29">
        <f>E9*G9</f>
        <v>1</v>
      </c>
      <c r="J9" s="29" t="s">
        <v>56</v>
      </c>
      <c r="K9" s="26"/>
      <c r="L9" s="27" t="s">
        <v>57</v>
      </c>
      <c r="M9" s="27" t="s">
        <v>58</v>
      </c>
      <c r="N9" s="27" t="s">
        <v>59</v>
      </c>
      <c r="O9" s="27" t="s">
        <v>70</v>
      </c>
      <c r="P9" s="27" t="s">
        <v>73</v>
      </c>
    </row>
    <row r="10" spans="2:16">
      <c r="B10" s="24">
        <v>6</v>
      </c>
      <c r="C10" s="28" t="s">
        <v>54</v>
      </c>
      <c r="D10" s="25" t="s">
        <v>74</v>
      </c>
      <c r="E10" s="55">
        <v>1</v>
      </c>
      <c r="F10" s="55">
        <v>2</v>
      </c>
      <c r="G10" s="55">
        <v>1</v>
      </c>
      <c r="H10" s="29">
        <f>F10*G10</f>
        <v>2</v>
      </c>
      <c r="I10" s="29">
        <f>E10*G10</f>
        <v>1</v>
      </c>
      <c r="J10" s="55" t="s">
        <v>75</v>
      </c>
      <c r="K10" s="56"/>
      <c r="L10" s="27" t="s">
        <v>57</v>
      </c>
      <c r="M10" s="27" t="s">
        <v>58</v>
      </c>
      <c r="N10" s="27" t="s">
        <v>76</v>
      </c>
      <c r="O10" s="27" t="s">
        <v>62</v>
      </c>
      <c r="P10" s="27" t="s">
        <v>77</v>
      </c>
    </row>
    <row r="11" spans="2:16">
      <c r="B11" s="24">
        <v>7</v>
      </c>
      <c r="C11" s="28" t="s">
        <v>54</v>
      </c>
      <c r="D11" s="25" t="s">
        <v>78</v>
      </c>
      <c r="E11" s="55">
        <v>8</v>
      </c>
      <c r="F11" s="55">
        <v>16</v>
      </c>
      <c r="G11" s="55">
        <v>3</v>
      </c>
      <c r="H11" s="29">
        <f>F11*G11</f>
        <v>48</v>
      </c>
      <c r="I11" s="29">
        <f>E11*G11</f>
        <v>24</v>
      </c>
      <c r="J11" s="55" t="s">
        <v>56</v>
      </c>
      <c r="K11" s="56"/>
      <c r="L11" s="27" t="s">
        <v>57</v>
      </c>
      <c r="M11" s="27" t="s">
        <v>58</v>
      </c>
      <c r="N11" s="27" t="s">
        <v>76</v>
      </c>
      <c r="O11" s="27" t="s">
        <v>62</v>
      </c>
      <c r="P11" s="27"/>
    </row>
    <row r="12" spans="2:16" ht="30.75">
      <c r="B12" s="24">
        <v>8</v>
      </c>
      <c r="C12" s="57" t="s">
        <v>79</v>
      </c>
      <c r="D12" s="58" t="s">
        <v>80</v>
      </c>
      <c r="E12" s="59">
        <v>4</v>
      </c>
      <c r="F12" s="59">
        <v>8</v>
      </c>
      <c r="G12" s="59">
        <v>1</v>
      </c>
      <c r="H12" s="60">
        <f>F12*G12</f>
        <v>8</v>
      </c>
      <c r="I12" s="13">
        <f>E12*G12</f>
        <v>4</v>
      </c>
      <c r="J12" s="59" t="s">
        <v>75</v>
      </c>
      <c r="K12" s="59" t="s">
        <v>81</v>
      </c>
      <c r="L12" s="59" t="s">
        <v>58</v>
      </c>
      <c r="M12" s="59" t="s">
        <v>82</v>
      </c>
      <c r="N12" s="59" t="s">
        <v>83</v>
      </c>
      <c r="O12" s="61"/>
    </row>
    <row r="13" spans="2:16">
      <c r="B13" s="24">
        <v>9</v>
      </c>
      <c r="C13" s="28" t="s">
        <v>54</v>
      </c>
      <c r="D13" s="21" t="s">
        <v>84</v>
      </c>
      <c r="E13" s="30">
        <v>2</v>
      </c>
      <c r="F13" s="30">
        <v>4</v>
      </c>
      <c r="G13" s="30">
        <v>1</v>
      </c>
      <c r="H13" s="13">
        <f>F13*G13</f>
        <v>4</v>
      </c>
      <c r="I13" s="13">
        <f>E13*G13</f>
        <v>2</v>
      </c>
      <c r="J13" s="31" t="s">
        <v>75</v>
      </c>
      <c r="K13" s="32"/>
      <c r="L13" s="32"/>
      <c r="M13" s="32"/>
      <c r="N13" s="32"/>
      <c r="O13" s="1"/>
    </row>
    <row r="14" spans="2:16">
      <c r="B14" s="24">
        <v>10</v>
      </c>
      <c r="C14" s="28" t="s">
        <v>54</v>
      </c>
      <c r="D14" s="62" t="s">
        <v>85</v>
      </c>
      <c r="E14" s="39">
        <v>1</v>
      </c>
      <c r="F14" s="39">
        <v>2</v>
      </c>
      <c r="G14" s="39">
        <v>1</v>
      </c>
      <c r="H14" s="13">
        <f>F14*G14</f>
        <v>2</v>
      </c>
      <c r="I14" s="13">
        <f>E14*G14</f>
        <v>1</v>
      </c>
      <c r="J14" s="39"/>
      <c r="K14" s="1"/>
      <c r="L14" s="1"/>
      <c r="M14" s="1"/>
      <c r="N14" s="1"/>
      <c r="O14" s="1"/>
    </row>
    <row r="15" spans="2:16">
      <c r="B15" s="24">
        <v>11</v>
      </c>
      <c r="C15" s="63" t="s">
        <v>54</v>
      </c>
      <c r="D15" s="21" t="s">
        <v>86</v>
      </c>
      <c r="E15" s="30">
        <v>4</v>
      </c>
      <c r="F15" s="30">
        <v>8</v>
      </c>
      <c r="G15" s="30">
        <v>2</v>
      </c>
      <c r="H15" s="13">
        <f>F15*G15</f>
        <v>16</v>
      </c>
      <c r="I15" s="13">
        <f>E15*G15</f>
        <v>8</v>
      </c>
      <c r="J15" s="30"/>
      <c r="K15" s="32"/>
      <c r="L15" s="32"/>
      <c r="M15" s="32"/>
      <c r="N15" s="32"/>
      <c r="O15" s="32"/>
    </row>
    <row r="16" spans="2:16">
      <c r="B16" s="69">
        <v>12</v>
      </c>
      <c r="C16" s="70" t="s">
        <v>87</v>
      </c>
      <c r="D16" s="71" t="s">
        <v>88</v>
      </c>
      <c r="E16" s="72">
        <v>8</v>
      </c>
      <c r="F16" s="72">
        <v>16</v>
      </c>
      <c r="G16" s="72">
        <v>2</v>
      </c>
      <c r="H16" s="72">
        <f>F16*G16</f>
        <v>32</v>
      </c>
      <c r="I16" s="38">
        <f>E16*G16</f>
        <v>16</v>
      </c>
      <c r="J16" s="73" t="s">
        <v>56</v>
      </c>
      <c r="K16" s="73" t="s">
        <v>57</v>
      </c>
      <c r="L16" s="73" t="s">
        <v>58</v>
      </c>
      <c r="M16" s="73" t="s">
        <v>59</v>
      </c>
      <c r="N16" s="73" t="s">
        <v>63</v>
      </c>
      <c r="O16" s="74" t="s">
        <v>77</v>
      </c>
    </row>
    <row r="17" spans="2:16">
      <c r="B17" s="24">
        <v>13</v>
      </c>
      <c r="C17" s="28" t="s">
        <v>89</v>
      </c>
      <c r="D17" s="25" t="s">
        <v>90</v>
      </c>
      <c r="E17" s="26">
        <v>2</v>
      </c>
      <c r="F17" s="26">
        <v>4</v>
      </c>
      <c r="G17" s="26">
        <v>1</v>
      </c>
      <c r="H17" s="72">
        <f>F17*G17</f>
        <v>4</v>
      </c>
      <c r="I17" s="38">
        <f>E17*G17</f>
        <v>2</v>
      </c>
      <c r="J17" s="56"/>
      <c r="K17" s="56"/>
      <c r="L17" s="56"/>
      <c r="M17" s="56"/>
      <c r="N17" s="56"/>
      <c r="O17" s="27"/>
      <c r="P17" s="65"/>
    </row>
    <row r="19" spans="2:16" ht="15.75">
      <c r="B19" s="89" t="s">
        <v>91</v>
      </c>
      <c r="C19" s="89"/>
      <c r="D19" s="89"/>
      <c r="E19" s="89"/>
      <c r="F19" s="89"/>
      <c r="G19" s="89"/>
      <c r="H19" s="89"/>
      <c r="I19" s="89"/>
      <c r="J19" s="89"/>
      <c r="K19" s="89"/>
    </row>
    <row r="20" spans="2:16" ht="30.75">
      <c r="B20" s="10"/>
      <c r="C20" s="10" t="s">
        <v>92</v>
      </c>
      <c r="D20" s="10" t="s">
        <v>93</v>
      </c>
      <c r="E20" s="6" t="s">
        <v>94</v>
      </c>
      <c r="F20" s="6" t="s">
        <v>95</v>
      </c>
      <c r="G20" s="6" t="s">
        <v>45</v>
      </c>
      <c r="H20" s="6" t="s">
        <v>96</v>
      </c>
      <c r="I20" s="10"/>
      <c r="J20" s="10" t="s">
        <v>97</v>
      </c>
      <c r="K20" s="10" t="s">
        <v>98</v>
      </c>
    </row>
    <row r="21" spans="2:16">
      <c r="B21" s="15"/>
      <c r="C21" s="15" t="s">
        <v>99</v>
      </c>
      <c r="D21" s="14">
        <f>ROUNDUP(SUM(I5:I17)/E21,0)</f>
        <v>4</v>
      </c>
      <c r="E21" s="14">
        <v>16</v>
      </c>
      <c r="F21" s="14">
        <v>32</v>
      </c>
      <c r="G21" s="14">
        <f>D21*F21</f>
        <v>128</v>
      </c>
      <c r="H21" s="14">
        <f>D21*E21</f>
        <v>64</v>
      </c>
      <c r="I21" s="14"/>
      <c r="J21" s="14" t="s">
        <v>100</v>
      </c>
      <c r="K21" s="15" t="s">
        <v>101</v>
      </c>
    </row>
    <row r="26" spans="2:16">
      <c r="B26" t="s">
        <v>102</v>
      </c>
      <c r="C26" s="86" t="s">
        <v>103</v>
      </c>
      <c r="D26" s="86"/>
      <c r="E26" s="86"/>
    </row>
    <row r="27" spans="2:16">
      <c r="C27" s="86"/>
      <c r="D27" s="86"/>
      <c r="E27" s="86"/>
    </row>
    <row r="28" spans="2:16">
      <c r="C28" s="86"/>
      <c r="D28" s="86"/>
      <c r="E28" s="86"/>
    </row>
    <row r="29" spans="2:16">
      <c r="C29" s="86"/>
      <c r="D29" s="86"/>
      <c r="E29" s="86"/>
    </row>
    <row r="30" spans="2:16">
      <c r="C30" s="86"/>
      <c r="D30" s="86"/>
      <c r="E30" s="86"/>
    </row>
    <row r="31" spans="2:16" ht="15" customHeight="1"/>
  </sheetData>
  <mergeCells count="4">
    <mergeCell ref="B1:D1"/>
    <mergeCell ref="B3:P3"/>
    <mergeCell ref="B19:K19"/>
    <mergeCell ref="C26:E3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40C59-B9B8-4E32-BA80-A175474C6864}">
  <dimension ref="B1:P23"/>
  <sheetViews>
    <sheetView workbookViewId="0">
      <selection activeCell="M6" sqref="M6"/>
    </sheetView>
  </sheetViews>
  <sheetFormatPr defaultRowHeight="15"/>
  <cols>
    <col min="2" max="2" width="12.7109375" customWidth="1"/>
    <col min="3" max="3" width="20" customWidth="1"/>
    <col min="4" max="4" width="14.85546875" bestFit="1" customWidth="1"/>
    <col min="5" max="5" width="11.42578125" customWidth="1"/>
    <col min="6" max="6" width="14" customWidth="1"/>
    <col min="7" max="7" width="13.42578125" customWidth="1"/>
    <col min="8" max="8" width="13.28515625" customWidth="1"/>
    <col min="9" max="9" width="9.85546875" customWidth="1"/>
    <col min="10" max="10" width="19.85546875" customWidth="1"/>
    <col min="11" max="11" width="19.42578125" customWidth="1"/>
    <col min="12" max="12" width="8" bestFit="1" customWidth="1"/>
    <col min="13" max="13" width="13.140625" customWidth="1"/>
    <col min="14" max="14" width="20.28515625" customWidth="1"/>
    <col min="15" max="15" width="39" customWidth="1"/>
    <col min="16" max="16" width="33.140625" customWidth="1"/>
  </cols>
  <sheetData>
    <row r="1" spans="2:16" ht="18.75">
      <c r="B1" s="81" t="s">
        <v>89</v>
      </c>
      <c r="C1" s="81"/>
      <c r="D1" s="81"/>
    </row>
    <row r="3" spans="2:16" ht="15.75">
      <c r="B3" s="82" t="s">
        <v>38</v>
      </c>
      <c r="C3" s="82"/>
      <c r="D3" s="82"/>
      <c r="E3" s="82"/>
      <c r="F3" s="82"/>
      <c r="G3" s="82"/>
      <c r="H3" s="82"/>
      <c r="I3" s="82"/>
      <c r="J3" s="82"/>
      <c r="K3" s="82"/>
      <c r="L3" s="82"/>
      <c r="M3" s="82"/>
      <c r="N3" s="82"/>
      <c r="O3" s="82"/>
      <c r="P3" s="82"/>
    </row>
    <row r="4" spans="2:16" ht="45.75" customHeight="1">
      <c r="B4" s="17" t="s">
        <v>39</v>
      </c>
      <c r="C4" s="17" t="s">
        <v>40</v>
      </c>
      <c r="D4" s="17" t="s">
        <v>41</v>
      </c>
      <c r="E4" s="17" t="s">
        <v>42</v>
      </c>
      <c r="F4" s="17" t="s">
        <v>43</v>
      </c>
      <c r="G4" s="17" t="s">
        <v>44</v>
      </c>
      <c r="H4" s="17" t="s">
        <v>45</v>
      </c>
      <c r="I4" s="17" t="s">
        <v>46</v>
      </c>
      <c r="J4" s="17" t="s">
        <v>47</v>
      </c>
      <c r="K4" s="17" t="s">
        <v>48</v>
      </c>
      <c r="L4" s="17" t="s">
        <v>49</v>
      </c>
      <c r="M4" s="17" t="s">
        <v>50</v>
      </c>
      <c r="N4" s="17" t="s">
        <v>51</v>
      </c>
      <c r="O4" s="17" t="s">
        <v>52</v>
      </c>
      <c r="P4" s="17" t="s">
        <v>53</v>
      </c>
    </row>
    <row r="5" spans="2:16" ht="30.75">
      <c r="B5" s="64"/>
      <c r="C5" s="8" t="s">
        <v>104</v>
      </c>
      <c r="D5" s="12" t="s">
        <v>80</v>
      </c>
      <c r="E5" s="9">
        <v>2</v>
      </c>
      <c r="F5" s="9">
        <v>4</v>
      </c>
      <c r="G5" s="9">
        <v>2</v>
      </c>
      <c r="H5" s="13">
        <f>F5*G5</f>
        <v>8</v>
      </c>
      <c r="I5" s="13">
        <f>E5*G5</f>
        <v>4</v>
      </c>
      <c r="J5" s="9" t="s">
        <v>75</v>
      </c>
      <c r="K5" s="9" t="s">
        <v>81</v>
      </c>
      <c r="L5" s="9" t="s">
        <v>58</v>
      </c>
      <c r="M5" s="9" t="s">
        <v>82</v>
      </c>
      <c r="N5" s="11" t="s">
        <v>83</v>
      </c>
      <c r="O5" s="7"/>
      <c r="P5" s="7"/>
    </row>
    <row r="6" spans="2:16" ht="30.75">
      <c r="B6" s="64"/>
      <c r="C6" s="8" t="s">
        <v>87</v>
      </c>
      <c r="D6" s="8" t="s">
        <v>105</v>
      </c>
      <c r="E6" s="9">
        <v>2</v>
      </c>
      <c r="F6" s="9">
        <v>4</v>
      </c>
      <c r="G6" s="9">
        <v>3</v>
      </c>
      <c r="H6" s="13">
        <f>F6*G6</f>
        <v>12</v>
      </c>
      <c r="I6" s="13">
        <f>E6*G6</f>
        <v>6</v>
      </c>
      <c r="J6" s="9" t="s">
        <v>56</v>
      </c>
      <c r="K6" s="9" t="s">
        <v>66</v>
      </c>
      <c r="L6" s="9" t="s">
        <v>67</v>
      </c>
      <c r="M6" s="9" t="s">
        <v>59</v>
      </c>
      <c r="N6" s="11" t="s">
        <v>106</v>
      </c>
      <c r="O6" s="7" t="s">
        <v>70</v>
      </c>
      <c r="P6" s="7"/>
    </row>
    <row r="8" spans="2:16" ht="15.75">
      <c r="B8" s="83" t="s">
        <v>91</v>
      </c>
      <c r="C8" s="84"/>
      <c r="D8" s="84"/>
      <c r="E8" s="84"/>
      <c r="F8" s="84"/>
      <c r="G8" s="84"/>
      <c r="H8" s="84"/>
      <c r="I8" s="84"/>
      <c r="J8" s="84"/>
      <c r="K8" s="85"/>
      <c r="N8" s="18"/>
    </row>
    <row r="9" spans="2:16" ht="30.75">
      <c r="B9" s="10"/>
      <c r="C9" s="10" t="s">
        <v>92</v>
      </c>
      <c r="D9" s="10" t="s">
        <v>93</v>
      </c>
      <c r="E9" s="6" t="s">
        <v>94</v>
      </c>
      <c r="F9" s="6" t="s">
        <v>95</v>
      </c>
      <c r="G9" s="6" t="s">
        <v>45</v>
      </c>
      <c r="H9" s="6" t="s">
        <v>96</v>
      </c>
      <c r="I9" s="10" t="s">
        <v>97</v>
      </c>
      <c r="J9" s="10" t="s">
        <v>98</v>
      </c>
      <c r="K9" s="10" t="s">
        <v>107</v>
      </c>
    </row>
    <row r="10" spans="2:16">
      <c r="B10" s="15"/>
      <c r="C10" s="15"/>
      <c r="D10" s="14"/>
      <c r="E10" s="14"/>
      <c r="F10" s="14"/>
      <c r="G10" s="14"/>
      <c r="H10" s="14"/>
      <c r="I10" s="14"/>
      <c r="J10" s="15"/>
      <c r="K10" s="16"/>
    </row>
    <row r="11" spans="2:16">
      <c r="B11" s="15"/>
      <c r="C11" s="15" t="s">
        <v>99</v>
      </c>
      <c r="D11" s="15">
        <f>ROUNDUP(SUM(I5:I6)/E11,0)</f>
        <v>2</v>
      </c>
      <c r="E11" s="15">
        <v>8</v>
      </c>
      <c r="F11" s="15">
        <v>16</v>
      </c>
      <c r="G11" s="15">
        <f>D11*F11</f>
        <v>32</v>
      </c>
      <c r="H11" s="15">
        <f>D11*E11</f>
        <v>16</v>
      </c>
      <c r="I11" s="15" t="s">
        <v>108</v>
      </c>
      <c r="J11" s="15" t="s">
        <v>101</v>
      </c>
      <c r="K11" s="15"/>
    </row>
    <row r="19" spans="2:5">
      <c r="B19" t="s">
        <v>102</v>
      </c>
      <c r="C19" s="86" t="s">
        <v>103</v>
      </c>
      <c r="D19" s="86"/>
      <c r="E19" s="86"/>
    </row>
    <row r="20" spans="2:5">
      <c r="C20" s="86"/>
      <c r="D20" s="86"/>
      <c r="E20" s="86"/>
    </row>
    <row r="21" spans="2:5">
      <c r="C21" s="86"/>
      <c r="D21" s="86"/>
      <c r="E21" s="86"/>
    </row>
    <row r="22" spans="2:5">
      <c r="C22" s="86"/>
      <c r="D22" s="86"/>
      <c r="E22" s="86"/>
    </row>
    <row r="23" spans="2:5">
      <c r="C23" s="86"/>
      <c r="D23" s="86"/>
      <c r="E23" s="86"/>
    </row>
  </sheetData>
  <mergeCells count="4">
    <mergeCell ref="B1:D1"/>
    <mergeCell ref="B3:P3"/>
    <mergeCell ref="B8:K8"/>
    <mergeCell ref="C19:E2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EE71B-AE39-4637-A6E3-F5EDD00FA062}">
  <dimension ref="A1:Q41"/>
  <sheetViews>
    <sheetView showGridLines="0" workbookViewId="0">
      <selection activeCell="K7" sqref="K7"/>
    </sheetView>
  </sheetViews>
  <sheetFormatPr defaultRowHeight="15" customHeight="1"/>
  <cols>
    <col min="2" max="2" width="18.42578125" customWidth="1"/>
    <col min="3" max="3" width="26.28515625" bestFit="1" customWidth="1"/>
    <col min="4" max="4" width="30" customWidth="1"/>
    <col min="5" max="5" width="25.140625" customWidth="1"/>
    <col min="6" max="6" width="19.5703125" customWidth="1"/>
    <col min="7" max="7" width="22" customWidth="1"/>
    <col min="8" max="8" width="20" customWidth="1"/>
    <col min="9" max="9" width="18.42578125" customWidth="1"/>
    <col min="10" max="10" width="31.5703125" customWidth="1"/>
    <col min="11" max="11" width="13.5703125" customWidth="1"/>
    <col min="12" max="12" width="20" customWidth="1"/>
    <col min="13" max="13" width="34.28515625" customWidth="1"/>
    <col min="14" max="14" width="21.7109375" customWidth="1"/>
    <col min="15" max="15" width="20.85546875" customWidth="1"/>
    <col min="16" max="16" width="39" customWidth="1"/>
    <col min="17" max="17" width="33.140625" customWidth="1"/>
  </cols>
  <sheetData>
    <row r="1" spans="2:17" ht="18.75">
      <c r="B1" s="81" t="s">
        <v>37</v>
      </c>
      <c r="C1" s="81"/>
      <c r="D1" s="81"/>
    </row>
    <row r="3" spans="2:17" ht="15.75">
      <c r="B3" s="82" t="s">
        <v>38</v>
      </c>
      <c r="C3" s="82"/>
      <c r="D3" s="82"/>
      <c r="E3" s="82"/>
      <c r="F3" s="82"/>
      <c r="G3" s="82"/>
      <c r="H3" s="82"/>
      <c r="I3" s="82"/>
      <c r="J3" s="82"/>
      <c r="K3" s="82"/>
      <c r="L3" s="82"/>
      <c r="M3" s="82"/>
      <c r="N3" s="82"/>
      <c r="O3" s="82"/>
      <c r="P3" s="82"/>
      <c r="Q3" s="82"/>
    </row>
    <row r="4" spans="2:17">
      <c r="B4" s="46" t="s">
        <v>39</v>
      </c>
      <c r="C4" s="17" t="s">
        <v>40</v>
      </c>
      <c r="D4" s="17" t="s">
        <v>41</v>
      </c>
      <c r="E4" s="17" t="s">
        <v>42</v>
      </c>
      <c r="F4" s="17" t="s">
        <v>43</v>
      </c>
      <c r="G4" s="17" t="s">
        <v>44</v>
      </c>
      <c r="H4" s="17" t="s">
        <v>45</v>
      </c>
      <c r="I4" s="17" t="s">
        <v>46</v>
      </c>
      <c r="J4" s="17" t="s">
        <v>47</v>
      </c>
      <c r="K4" s="17" t="s">
        <v>48</v>
      </c>
      <c r="L4" s="17" t="s">
        <v>109</v>
      </c>
      <c r="M4" s="17" t="s">
        <v>49</v>
      </c>
      <c r="N4" s="17" t="s">
        <v>50</v>
      </c>
      <c r="O4" s="17" t="s">
        <v>51</v>
      </c>
      <c r="P4" s="17" t="s">
        <v>52</v>
      </c>
      <c r="Q4" s="17" t="s">
        <v>53</v>
      </c>
    </row>
    <row r="5" spans="2:17">
      <c r="B5" s="24">
        <v>1</v>
      </c>
      <c r="C5" s="28" t="s">
        <v>104</v>
      </c>
      <c r="D5" s="25" t="s">
        <v>55</v>
      </c>
      <c r="E5" s="26">
        <v>1</v>
      </c>
      <c r="F5" s="26">
        <v>2</v>
      </c>
      <c r="G5" s="26">
        <v>1</v>
      </c>
      <c r="H5" s="26">
        <f>F5*G5</f>
        <v>2</v>
      </c>
      <c r="I5" s="26">
        <f t="shared" ref="I5:I7" si="0">E5*G5</f>
        <v>1</v>
      </c>
      <c r="J5" s="29" t="s">
        <v>56</v>
      </c>
      <c r="K5" s="29"/>
      <c r="L5" s="26"/>
      <c r="M5" s="27" t="s">
        <v>57</v>
      </c>
      <c r="N5" s="27" t="s">
        <v>58</v>
      </c>
      <c r="O5" s="27" t="s">
        <v>59</v>
      </c>
      <c r="P5" s="27" t="s">
        <v>60</v>
      </c>
      <c r="Q5" s="27" t="s">
        <v>61</v>
      </c>
    </row>
    <row r="6" spans="2:17">
      <c r="B6" s="42">
        <v>2</v>
      </c>
      <c r="C6" s="21" t="s">
        <v>104</v>
      </c>
      <c r="D6" s="41" t="s">
        <v>80</v>
      </c>
      <c r="E6" s="36">
        <v>2</v>
      </c>
      <c r="F6" s="36">
        <v>4</v>
      </c>
      <c r="G6" s="36">
        <v>1</v>
      </c>
      <c r="H6" s="26">
        <f t="shared" ref="H6:H7" si="1">F6*G6</f>
        <v>4</v>
      </c>
      <c r="I6" s="26">
        <f t="shared" si="0"/>
        <v>2</v>
      </c>
      <c r="J6" s="30"/>
      <c r="K6" s="30" t="s">
        <v>110</v>
      </c>
      <c r="L6" s="30"/>
      <c r="M6" s="30"/>
      <c r="N6" s="30"/>
      <c r="O6" s="30"/>
      <c r="P6" s="32"/>
      <c r="Q6" s="20"/>
    </row>
    <row r="7" spans="2:17">
      <c r="B7" s="40">
        <v>4</v>
      </c>
      <c r="C7" s="21" t="s">
        <v>111</v>
      </c>
      <c r="D7" s="77" t="s">
        <v>112</v>
      </c>
      <c r="E7" s="78">
        <v>4</v>
      </c>
      <c r="F7" s="36">
        <v>8</v>
      </c>
      <c r="G7" s="36">
        <v>2</v>
      </c>
      <c r="H7" s="36">
        <f t="shared" si="1"/>
        <v>16</v>
      </c>
      <c r="I7" s="36">
        <f t="shared" si="0"/>
        <v>8</v>
      </c>
      <c r="J7" s="30"/>
      <c r="K7" s="30"/>
      <c r="L7" s="30"/>
      <c r="M7" s="30"/>
      <c r="N7" s="30"/>
      <c r="O7" s="30"/>
      <c r="P7" s="32"/>
      <c r="Q7" s="20"/>
    </row>
    <row r="8" spans="2:17">
      <c r="B8" s="52"/>
      <c r="C8" s="53"/>
      <c r="D8" s="54"/>
      <c r="K8" s="44"/>
    </row>
    <row r="9" spans="2:17"/>
    <row r="10" spans="2:17" ht="15.75">
      <c r="B10" s="47" t="s">
        <v>91</v>
      </c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45"/>
    </row>
    <row r="11" spans="2:17" ht="30.75">
      <c r="B11" s="10"/>
      <c r="C11" s="10" t="s">
        <v>92</v>
      </c>
      <c r="D11" s="10" t="s">
        <v>93</v>
      </c>
      <c r="E11" s="6" t="s">
        <v>94</v>
      </c>
      <c r="F11" s="6" t="s">
        <v>95</v>
      </c>
      <c r="G11" s="6" t="s">
        <v>45</v>
      </c>
      <c r="H11" s="6" t="s">
        <v>96</v>
      </c>
      <c r="I11" s="10"/>
      <c r="J11" s="10" t="s">
        <v>97</v>
      </c>
      <c r="K11" s="10"/>
      <c r="L11" s="10" t="s">
        <v>98</v>
      </c>
      <c r="M11" s="46"/>
    </row>
    <row r="12" spans="2:17">
      <c r="B12" s="15"/>
      <c r="C12" s="15" t="s">
        <v>99</v>
      </c>
      <c r="D12" s="14">
        <f>ROUNDUP(SUM(I5:I7)/E12,0)</f>
        <v>2</v>
      </c>
      <c r="E12" s="14">
        <v>8</v>
      </c>
      <c r="F12" s="14">
        <v>16</v>
      </c>
      <c r="G12" s="14">
        <f>D12*F12</f>
        <v>32</v>
      </c>
      <c r="H12" s="14">
        <f>D12*E12</f>
        <v>16</v>
      </c>
      <c r="I12" s="14"/>
      <c r="J12" s="14" t="s">
        <v>113</v>
      </c>
      <c r="K12" s="50"/>
      <c r="L12" s="48" t="s">
        <v>101</v>
      </c>
      <c r="M12" s="76"/>
    </row>
    <row r="13" spans="2:17">
      <c r="B13" s="20"/>
      <c r="C13" s="20" t="s">
        <v>107</v>
      </c>
      <c r="D13" s="36" t="s">
        <v>114</v>
      </c>
      <c r="E13" s="20"/>
      <c r="F13" s="20"/>
      <c r="G13" s="20"/>
      <c r="H13" s="20"/>
      <c r="I13" s="20"/>
      <c r="J13" s="37"/>
      <c r="K13" s="51"/>
      <c r="L13" s="49"/>
      <c r="M13" s="20"/>
    </row>
    <row r="14" spans="2:17"/>
    <row r="16" spans="2:17" ht="15" customHeight="1">
      <c r="B16" s="83" t="s">
        <v>115</v>
      </c>
      <c r="C16" s="84"/>
      <c r="D16" s="84"/>
      <c r="E16" s="84"/>
      <c r="F16" s="84"/>
      <c r="G16" s="84"/>
      <c r="H16" s="84"/>
      <c r="I16" s="84"/>
      <c r="J16" s="84"/>
      <c r="K16" s="84"/>
      <c r="L16" s="85"/>
    </row>
    <row r="17" spans="1:11" ht="31.5" customHeight="1">
      <c r="B17" s="10"/>
      <c r="C17" s="10" t="s">
        <v>92</v>
      </c>
      <c r="D17" s="17" t="s">
        <v>42</v>
      </c>
      <c r="E17" s="17" t="s">
        <v>43</v>
      </c>
      <c r="F17" s="17" t="s">
        <v>44</v>
      </c>
      <c r="G17" s="17" t="s">
        <v>45</v>
      </c>
      <c r="H17" s="17" t="s">
        <v>46</v>
      </c>
      <c r="I17" s="17" t="s">
        <v>47</v>
      </c>
      <c r="J17" s="17" t="s">
        <v>48</v>
      </c>
      <c r="K17" s="10"/>
    </row>
    <row r="18" spans="1:11">
      <c r="B18" s="15"/>
      <c r="C18" s="15"/>
      <c r="D18" s="14"/>
      <c r="E18" s="14"/>
      <c r="F18" s="14"/>
      <c r="G18" s="14"/>
      <c r="H18" s="14"/>
      <c r="I18" s="14"/>
      <c r="J18" s="14"/>
      <c r="K18" s="16"/>
    </row>
    <row r="19" spans="1:11">
      <c r="B19" s="34"/>
      <c r="C19" s="34"/>
      <c r="D19" s="35"/>
      <c r="E19" s="35"/>
      <c r="F19" s="35"/>
      <c r="G19" s="35"/>
      <c r="H19" s="35"/>
      <c r="I19" s="35"/>
      <c r="J19" s="35"/>
      <c r="K19" s="75"/>
    </row>
    <row r="20" spans="1:11">
      <c r="B20" s="20"/>
      <c r="C20" s="20" t="s">
        <v>116</v>
      </c>
      <c r="D20" s="20"/>
      <c r="E20" s="20"/>
      <c r="F20" s="20"/>
      <c r="G20" s="20"/>
      <c r="H20" s="20"/>
      <c r="I20" s="37"/>
      <c r="J20" s="37" t="s">
        <v>117</v>
      </c>
      <c r="K20" s="20"/>
    </row>
    <row r="21" spans="1:11"/>
    <row r="22" spans="1:11"/>
    <row r="23" spans="1:11"/>
    <row r="24" spans="1:11">
      <c r="A24" t="s">
        <v>102</v>
      </c>
      <c r="B24" s="86" t="s">
        <v>103</v>
      </c>
      <c r="C24" s="86"/>
      <c r="D24" s="86"/>
    </row>
    <row r="25" spans="1:11">
      <c r="B25" s="86"/>
      <c r="C25" s="86"/>
      <c r="D25" s="86"/>
    </row>
    <row r="26" spans="1:11">
      <c r="B26" s="86"/>
      <c r="C26" s="86"/>
      <c r="D26" s="86"/>
    </row>
    <row r="27" spans="1:11">
      <c r="B27" s="86"/>
      <c r="C27" s="86"/>
      <c r="D27" s="86"/>
    </row>
    <row r="28" spans="1:11">
      <c r="B28" s="86"/>
      <c r="C28" s="86"/>
      <c r="D28" s="86"/>
    </row>
    <row r="29" spans="1:11"/>
    <row r="30" spans="1:11"/>
    <row r="31" spans="1:11"/>
    <row r="33"/>
    <row r="34"/>
    <row r="35"/>
    <row r="36"/>
    <row r="37"/>
    <row r="38"/>
    <row r="39"/>
    <row r="40"/>
    <row r="41"/>
  </sheetData>
  <mergeCells count="4">
    <mergeCell ref="B3:Q3"/>
    <mergeCell ref="B1:D1"/>
    <mergeCell ref="B16:L16"/>
    <mergeCell ref="B24:D2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CE6F3-BB75-4929-A19A-0175AD28B8C2}">
  <dimension ref="A1:Q26"/>
  <sheetViews>
    <sheetView showGridLines="0" tabSelected="1" topLeftCell="A2" workbookViewId="0">
      <selection activeCell="I24" sqref="I24"/>
    </sheetView>
  </sheetViews>
  <sheetFormatPr defaultRowHeight="15" customHeight="1"/>
  <cols>
    <col min="2" max="2" width="12.7109375" customWidth="1"/>
    <col min="3" max="3" width="20" customWidth="1"/>
    <col min="4" max="4" width="30.5703125" customWidth="1"/>
    <col min="5" max="5" width="11.42578125" customWidth="1"/>
    <col min="6" max="6" width="14" customWidth="1"/>
    <col min="7" max="7" width="13.42578125" customWidth="1"/>
    <col min="8" max="8" width="13.28515625" customWidth="1"/>
    <col min="9" max="9" width="9.85546875" customWidth="1"/>
    <col min="10" max="11" width="19.85546875" style="44" customWidth="1"/>
    <col min="12" max="12" width="19.42578125" customWidth="1"/>
    <col min="13" max="13" width="8" bestFit="1" customWidth="1"/>
    <col min="14" max="14" width="13.140625" customWidth="1"/>
    <col min="15" max="15" width="20.28515625" customWidth="1"/>
    <col min="16" max="16" width="39" customWidth="1"/>
    <col min="17" max="17" width="33.140625" customWidth="1"/>
  </cols>
  <sheetData>
    <row r="1" spans="2:17" ht="18.75">
      <c r="B1" s="81" t="s">
        <v>118</v>
      </c>
      <c r="C1" s="81"/>
      <c r="D1" s="81"/>
    </row>
    <row r="3" spans="2:17" ht="15.75">
      <c r="B3" s="82" t="s">
        <v>38</v>
      </c>
      <c r="C3" s="82"/>
      <c r="D3" s="82"/>
      <c r="E3" s="82"/>
      <c r="F3" s="82"/>
      <c r="G3" s="82"/>
      <c r="H3" s="82"/>
      <c r="I3" s="82"/>
      <c r="J3" s="82"/>
      <c r="K3" s="82"/>
      <c r="L3" s="82"/>
      <c r="M3" s="82"/>
      <c r="N3" s="82"/>
      <c r="O3" s="82"/>
      <c r="P3" s="82"/>
      <c r="Q3" s="82"/>
    </row>
    <row r="4" spans="2:17" ht="29.25" customHeight="1">
      <c r="B4" s="17" t="s">
        <v>39</v>
      </c>
      <c r="C4" s="17" t="s">
        <v>40</v>
      </c>
      <c r="D4" s="17" t="s">
        <v>41</v>
      </c>
      <c r="E4" s="17" t="s">
        <v>42</v>
      </c>
      <c r="F4" s="17" t="s">
        <v>43</v>
      </c>
      <c r="G4" s="17" t="s">
        <v>44</v>
      </c>
      <c r="H4" s="17" t="s">
        <v>45</v>
      </c>
      <c r="I4" s="17" t="s">
        <v>46</v>
      </c>
      <c r="J4" s="17" t="s">
        <v>47</v>
      </c>
      <c r="K4" s="17" t="s">
        <v>48</v>
      </c>
      <c r="L4" s="17" t="s">
        <v>109</v>
      </c>
      <c r="M4" s="17" t="s">
        <v>49</v>
      </c>
      <c r="N4" s="17" t="s">
        <v>50</v>
      </c>
      <c r="O4" s="17" t="s">
        <v>51</v>
      </c>
      <c r="P4" s="17" t="s">
        <v>52</v>
      </c>
      <c r="Q4" s="17" t="s">
        <v>53</v>
      </c>
    </row>
    <row r="5" spans="2:17" ht="30.75">
      <c r="B5" s="13">
        <v>1</v>
      </c>
      <c r="C5" s="8" t="s">
        <v>104</v>
      </c>
      <c r="D5" s="12" t="s">
        <v>80</v>
      </c>
      <c r="E5" s="9">
        <v>2</v>
      </c>
      <c r="F5" s="9">
        <v>4</v>
      </c>
      <c r="G5" s="9">
        <v>2</v>
      </c>
      <c r="H5" s="13">
        <f>F5*G5</f>
        <v>8</v>
      </c>
      <c r="I5" s="13">
        <f>E5*G5</f>
        <v>4</v>
      </c>
      <c r="J5" s="9" t="s">
        <v>75</v>
      </c>
      <c r="K5" s="9" t="s">
        <v>100</v>
      </c>
      <c r="L5" s="9"/>
      <c r="M5" s="9" t="s">
        <v>58</v>
      </c>
      <c r="N5" s="9" t="s">
        <v>82</v>
      </c>
      <c r="O5" s="11" t="s">
        <v>83</v>
      </c>
      <c r="P5" s="7"/>
      <c r="Q5" s="7"/>
    </row>
    <row r="6" spans="2:17">
      <c r="B6" s="13">
        <v>2</v>
      </c>
      <c r="C6" s="8" t="s">
        <v>104</v>
      </c>
      <c r="D6" s="8" t="s">
        <v>55</v>
      </c>
      <c r="E6" s="13">
        <v>1</v>
      </c>
      <c r="F6" s="13">
        <v>2</v>
      </c>
      <c r="G6" s="33">
        <v>3</v>
      </c>
      <c r="H6" s="13">
        <f>F6*G6</f>
        <v>6</v>
      </c>
      <c r="I6" s="13">
        <f t="shared" ref="I6" si="0">E6*G6</f>
        <v>3</v>
      </c>
      <c r="J6" s="13" t="s">
        <v>56</v>
      </c>
      <c r="K6" s="13"/>
      <c r="L6" s="13"/>
      <c r="M6" s="9" t="s">
        <v>57</v>
      </c>
      <c r="N6" s="9" t="s">
        <v>58</v>
      </c>
      <c r="O6" s="11" t="s">
        <v>59</v>
      </c>
      <c r="P6" s="7" t="s">
        <v>60</v>
      </c>
      <c r="Q6" s="7" t="s">
        <v>61</v>
      </c>
    </row>
    <row r="7" spans="2:17">
      <c r="B7" s="13">
        <v>3</v>
      </c>
      <c r="C7" s="8" t="s">
        <v>119</v>
      </c>
      <c r="D7" s="8" t="s">
        <v>112</v>
      </c>
      <c r="E7" s="9">
        <v>4</v>
      </c>
      <c r="F7" s="9">
        <v>8</v>
      </c>
      <c r="G7" s="14">
        <v>4</v>
      </c>
      <c r="H7" s="13">
        <f>F7*G7</f>
        <v>32</v>
      </c>
      <c r="I7" s="13">
        <f>E7*G7</f>
        <v>16</v>
      </c>
      <c r="J7" s="9"/>
      <c r="K7" s="9"/>
      <c r="L7" s="9"/>
      <c r="M7" s="9"/>
      <c r="N7" s="9"/>
      <c r="O7" s="11"/>
      <c r="P7" s="7"/>
      <c r="Q7" s="7"/>
    </row>
    <row r="8" spans="2:17"/>
    <row r="9" spans="2:17" ht="15.75">
      <c r="B9" s="83" t="s">
        <v>91</v>
      </c>
      <c r="C9" s="84"/>
      <c r="D9" s="84"/>
      <c r="E9" s="84"/>
      <c r="F9" s="84"/>
      <c r="G9" s="84"/>
      <c r="H9" s="84"/>
      <c r="I9" s="84"/>
      <c r="J9" s="84"/>
      <c r="K9" s="84"/>
      <c r="L9" s="85"/>
      <c r="O9" s="18"/>
    </row>
    <row r="10" spans="2:17" ht="30.75">
      <c r="B10" s="10"/>
      <c r="C10" s="10" t="s">
        <v>92</v>
      </c>
      <c r="D10" s="10" t="s">
        <v>93</v>
      </c>
      <c r="E10" s="6" t="s">
        <v>94</v>
      </c>
      <c r="F10" s="6" t="s">
        <v>95</v>
      </c>
      <c r="G10" s="6" t="s">
        <v>45</v>
      </c>
      <c r="H10" s="6" t="s">
        <v>96</v>
      </c>
      <c r="I10" s="10" t="s">
        <v>97</v>
      </c>
      <c r="J10" s="10" t="s">
        <v>98</v>
      </c>
      <c r="K10" s="10"/>
      <c r="L10" s="10"/>
    </row>
    <row r="11" spans="2:17">
      <c r="B11" s="15"/>
      <c r="C11" s="15"/>
      <c r="D11" s="14"/>
      <c r="E11" s="14"/>
      <c r="F11" s="14"/>
      <c r="G11" s="14"/>
      <c r="H11" s="14"/>
      <c r="I11" s="14"/>
      <c r="J11" s="14"/>
      <c r="K11" s="14"/>
      <c r="L11" s="16"/>
    </row>
    <row r="12" spans="2:17">
      <c r="B12" s="34"/>
      <c r="C12" s="34" t="s">
        <v>99</v>
      </c>
      <c r="D12" s="35">
        <f>ROUNDUP(SUM(I5:I7)/E12,0)</f>
        <v>2</v>
      </c>
      <c r="E12" s="35">
        <v>16</v>
      </c>
      <c r="F12" s="35">
        <v>32</v>
      </c>
      <c r="G12" s="35">
        <f>D12*F12</f>
        <v>64</v>
      </c>
      <c r="H12" s="35">
        <f>D12*E12</f>
        <v>32</v>
      </c>
      <c r="I12" s="35" t="s">
        <v>113</v>
      </c>
      <c r="J12" s="35" t="s">
        <v>101</v>
      </c>
      <c r="K12" s="35"/>
      <c r="L12" s="75"/>
    </row>
    <row r="13" spans="2:17">
      <c r="B13" s="15"/>
      <c r="C13" s="15" t="s">
        <v>120</v>
      </c>
      <c r="D13" s="33" t="s">
        <v>114</v>
      </c>
      <c r="E13" s="15"/>
      <c r="F13" s="15"/>
      <c r="G13" s="15"/>
      <c r="H13" s="15"/>
      <c r="I13" s="14"/>
      <c r="J13" s="15"/>
      <c r="K13" s="15"/>
      <c r="L13" s="15"/>
    </row>
    <row r="14" spans="2:17"/>
    <row r="15" spans="2:17" ht="15.75">
      <c r="B15" s="83" t="s">
        <v>115</v>
      </c>
      <c r="C15" s="84"/>
      <c r="D15" s="84"/>
      <c r="E15" s="84"/>
      <c r="F15" s="84"/>
      <c r="G15" s="84"/>
      <c r="H15" s="84"/>
      <c r="I15" s="84"/>
      <c r="J15" s="84"/>
      <c r="K15" s="84"/>
      <c r="L15" s="85"/>
    </row>
    <row r="16" spans="2:17" ht="60.75">
      <c r="B16" s="10"/>
      <c r="C16" s="10" t="s">
        <v>92</v>
      </c>
      <c r="D16" s="17" t="s">
        <v>42</v>
      </c>
      <c r="E16" s="17" t="s">
        <v>43</v>
      </c>
      <c r="F16" s="17" t="s">
        <v>44</v>
      </c>
      <c r="G16" s="17" t="s">
        <v>45</v>
      </c>
      <c r="H16" s="17" t="s">
        <v>46</v>
      </c>
      <c r="I16" s="17" t="s">
        <v>47</v>
      </c>
      <c r="J16" s="17" t="s">
        <v>48</v>
      </c>
      <c r="K16" s="10"/>
    </row>
    <row r="17" spans="1:11">
      <c r="B17" s="15"/>
      <c r="C17" s="15"/>
      <c r="D17" s="14"/>
      <c r="E17" s="14"/>
      <c r="F17" s="14"/>
      <c r="G17" s="14"/>
      <c r="H17" s="14"/>
      <c r="I17" s="14"/>
      <c r="J17" s="14"/>
      <c r="K17" s="16"/>
    </row>
    <row r="18" spans="1:11" ht="27" customHeight="1">
      <c r="B18" s="34"/>
      <c r="C18" s="34"/>
      <c r="D18" s="35"/>
      <c r="E18" s="35"/>
      <c r="F18" s="35"/>
      <c r="G18" s="35"/>
      <c r="H18" s="35"/>
      <c r="I18" s="35"/>
      <c r="J18" s="35"/>
      <c r="K18" s="75"/>
    </row>
    <row r="19" spans="1:11">
      <c r="B19" s="20"/>
      <c r="C19" s="20" t="s">
        <v>116</v>
      </c>
      <c r="D19" s="20"/>
      <c r="E19" s="20"/>
      <c r="F19" s="20"/>
      <c r="G19" s="20"/>
      <c r="H19" s="20"/>
      <c r="I19" s="37"/>
      <c r="J19" s="37" t="s">
        <v>110</v>
      </c>
      <c r="K19" s="20"/>
    </row>
    <row r="20" spans="1:11"/>
    <row r="21" spans="1:11"/>
    <row r="22" spans="1:11" ht="15" customHeight="1">
      <c r="A22" t="s">
        <v>102</v>
      </c>
      <c r="B22" s="86" t="s">
        <v>103</v>
      </c>
      <c r="C22" s="86"/>
      <c r="D22" s="86"/>
    </row>
    <row r="23" spans="1:11">
      <c r="B23" s="86"/>
      <c r="C23" s="86"/>
      <c r="D23" s="86"/>
    </row>
    <row r="24" spans="1:11">
      <c r="B24" s="86"/>
      <c r="C24" s="86"/>
      <c r="D24" s="86"/>
    </row>
    <row r="25" spans="1:11">
      <c r="B25" s="86"/>
      <c r="C25" s="86"/>
      <c r="D25" s="86"/>
    </row>
    <row r="26" spans="1:11" ht="62.25" customHeight="1">
      <c r="B26" s="86"/>
      <c r="C26" s="86"/>
      <c r="D26" s="86"/>
    </row>
  </sheetData>
  <mergeCells count="5">
    <mergeCell ref="B22:D26"/>
    <mergeCell ref="B3:Q3"/>
    <mergeCell ref="B1:D1"/>
    <mergeCell ref="B9:L9"/>
    <mergeCell ref="B15:L1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A643E-F837-4C9D-9910-3E85088B9406}">
  <dimension ref="A1:Q34"/>
  <sheetViews>
    <sheetView topLeftCell="A14" workbookViewId="0">
      <selection activeCell="F23" sqref="F23"/>
    </sheetView>
  </sheetViews>
  <sheetFormatPr defaultRowHeight="15"/>
  <cols>
    <col min="3" max="3" width="22" bestFit="1" customWidth="1"/>
    <col min="4" max="4" width="28.28515625" bestFit="1" customWidth="1"/>
    <col min="10" max="10" width="14.7109375" bestFit="1" customWidth="1"/>
    <col min="11" max="11" width="8" bestFit="1" customWidth="1"/>
    <col min="17" max="17" width="49.42578125" bestFit="1" customWidth="1"/>
  </cols>
  <sheetData>
    <row r="1" spans="2:17" ht="18.75">
      <c r="B1" s="81" t="s">
        <v>121</v>
      </c>
      <c r="C1" s="81"/>
      <c r="D1" s="81"/>
      <c r="J1" s="44"/>
      <c r="K1" s="44"/>
    </row>
    <row r="2" spans="2:17">
      <c r="J2" s="44"/>
      <c r="K2" s="44"/>
    </row>
    <row r="3" spans="2:17" ht="15.75">
      <c r="B3" s="82" t="s">
        <v>38</v>
      </c>
      <c r="C3" s="82"/>
      <c r="D3" s="82"/>
      <c r="E3" s="82"/>
      <c r="F3" s="82"/>
      <c r="G3" s="82"/>
      <c r="H3" s="82"/>
      <c r="I3" s="82"/>
      <c r="J3" s="82"/>
      <c r="K3" s="82"/>
      <c r="L3" s="82"/>
      <c r="M3" s="82"/>
      <c r="N3" s="82"/>
      <c r="O3" s="82"/>
      <c r="P3" s="82"/>
      <c r="Q3" s="82"/>
    </row>
    <row r="4" spans="2:17" ht="60.75">
      <c r="B4" s="17" t="s">
        <v>39</v>
      </c>
      <c r="C4" s="17" t="s">
        <v>40</v>
      </c>
      <c r="D4" s="17" t="s">
        <v>41</v>
      </c>
      <c r="E4" s="17" t="s">
        <v>42</v>
      </c>
      <c r="F4" s="17" t="s">
        <v>43</v>
      </c>
      <c r="G4" s="17" t="s">
        <v>44</v>
      </c>
      <c r="H4" s="17" t="s">
        <v>45</v>
      </c>
      <c r="I4" s="17" t="s">
        <v>46</v>
      </c>
      <c r="J4" s="17" t="s">
        <v>47</v>
      </c>
      <c r="K4" s="17" t="s">
        <v>48</v>
      </c>
      <c r="L4" s="17" t="s">
        <v>109</v>
      </c>
      <c r="M4" s="17" t="s">
        <v>49</v>
      </c>
      <c r="N4" s="17" t="s">
        <v>50</v>
      </c>
      <c r="O4" s="17" t="s">
        <v>51</v>
      </c>
      <c r="P4" s="17" t="s">
        <v>52</v>
      </c>
      <c r="Q4" s="17" t="s">
        <v>53</v>
      </c>
    </row>
    <row r="5" spans="2:17" ht="60.75">
      <c r="B5" s="13">
        <v>1</v>
      </c>
      <c r="C5" s="8" t="s">
        <v>104</v>
      </c>
      <c r="D5" s="12" t="s">
        <v>80</v>
      </c>
      <c r="E5" s="9">
        <v>2</v>
      </c>
      <c r="F5" s="9">
        <v>4</v>
      </c>
      <c r="G5" s="9">
        <v>4</v>
      </c>
      <c r="H5" s="13">
        <v>16</v>
      </c>
      <c r="I5" s="13">
        <v>8</v>
      </c>
      <c r="J5" s="9" t="s">
        <v>75</v>
      </c>
      <c r="K5" s="9" t="s">
        <v>113</v>
      </c>
      <c r="L5" s="9" t="s">
        <v>57</v>
      </c>
      <c r="M5" s="9" t="s">
        <v>58</v>
      </c>
      <c r="N5" s="9" t="s">
        <v>82</v>
      </c>
      <c r="O5" s="11" t="s">
        <v>83</v>
      </c>
      <c r="P5" s="7"/>
      <c r="Q5" s="7"/>
    </row>
    <row r="6" spans="2:17">
      <c r="B6" s="13">
        <v>2</v>
      </c>
      <c r="C6" s="8" t="s">
        <v>104</v>
      </c>
      <c r="D6" s="8" t="s">
        <v>55</v>
      </c>
      <c r="E6" s="13">
        <v>2</v>
      </c>
      <c r="F6" s="13">
        <v>4</v>
      </c>
      <c r="G6" s="33">
        <v>2</v>
      </c>
      <c r="H6" s="13">
        <v>8</v>
      </c>
      <c r="I6" s="13">
        <v>4</v>
      </c>
      <c r="J6" s="13" t="s">
        <v>56</v>
      </c>
      <c r="K6" s="13"/>
      <c r="L6" s="13"/>
      <c r="M6" s="9" t="s">
        <v>57</v>
      </c>
      <c r="N6" s="9" t="s">
        <v>58</v>
      </c>
      <c r="O6" s="11" t="s">
        <v>59</v>
      </c>
      <c r="P6" s="7" t="s">
        <v>60</v>
      </c>
      <c r="Q6" s="7" t="s">
        <v>61</v>
      </c>
    </row>
    <row r="7" spans="2:17">
      <c r="B7" s="79">
        <v>3</v>
      </c>
      <c r="C7" s="28" t="s">
        <v>122</v>
      </c>
      <c r="D7" s="25" t="s">
        <v>123</v>
      </c>
      <c r="E7" s="26">
        <v>2</v>
      </c>
      <c r="F7" s="26">
        <v>4</v>
      </c>
      <c r="G7" s="26">
        <v>2</v>
      </c>
      <c r="H7" s="26">
        <v>8</v>
      </c>
      <c r="I7" s="26">
        <v>4</v>
      </c>
      <c r="J7" s="26" t="s">
        <v>56</v>
      </c>
      <c r="K7" s="26"/>
      <c r="L7" s="26"/>
      <c r="M7" s="27" t="s">
        <v>66</v>
      </c>
      <c r="N7" s="27" t="s">
        <v>67</v>
      </c>
      <c r="O7" s="27" t="s">
        <v>59</v>
      </c>
      <c r="P7" s="27" t="s">
        <v>68</v>
      </c>
      <c r="Q7" s="27" t="s">
        <v>69</v>
      </c>
    </row>
    <row r="8" spans="2:17">
      <c r="B8" s="79">
        <v>4</v>
      </c>
      <c r="C8" s="28" t="s">
        <v>122</v>
      </c>
      <c r="D8" s="25" t="s">
        <v>124</v>
      </c>
      <c r="E8" s="26">
        <v>2</v>
      </c>
      <c r="F8" s="26">
        <v>4</v>
      </c>
      <c r="G8" s="26">
        <v>2</v>
      </c>
      <c r="H8" s="26">
        <v>8</v>
      </c>
      <c r="I8" s="26">
        <v>4</v>
      </c>
      <c r="J8" s="26" t="s">
        <v>56</v>
      </c>
      <c r="K8" s="26"/>
      <c r="L8" s="26"/>
      <c r="M8" s="27" t="s">
        <v>66</v>
      </c>
      <c r="N8" s="27" t="s">
        <v>67</v>
      </c>
      <c r="O8" s="27" t="s">
        <v>59</v>
      </c>
      <c r="P8" s="27" t="s">
        <v>71</v>
      </c>
      <c r="Q8" s="27" t="s">
        <v>72</v>
      </c>
    </row>
    <row r="9" spans="2:17">
      <c r="B9" s="79">
        <v>5</v>
      </c>
      <c r="C9" s="28" t="s">
        <v>122</v>
      </c>
      <c r="D9" s="25" t="s">
        <v>125</v>
      </c>
      <c r="E9" s="26">
        <v>2</v>
      </c>
      <c r="F9" s="26">
        <v>4</v>
      </c>
      <c r="G9" s="26">
        <v>2</v>
      </c>
      <c r="H9" s="26">
        <v>8</v>
      </c>
      <c r="I9" s="26">
        <v>4</v>
      </c>
      <c r="J9" s="26" t="s">
        <v>56</v>
      </c>
      <c r="K9" s="26"/>
      <c r="L9" s="26"/>
      <c r="M9" s="27" t="s">
        <v>57</v>
      </c>
      <c r="N9" s="27" t="s">
        <v>58</v>
      </c>
      <c r="O9" s="27" t="s">
        <v>59</v>
      </c>
      <c r="P9" s="27" t="s">
        <v>70</v>
      </c>
      <c r="Q9" s="27" t="s">
        <v>73</v>
      </c>
    </row>
    <row r="10" spans="2:17">
      <c r="B10" s="40">
        <v>6</v>
      </c>
      <c r="C10" s="21" t="s">
        <v>104</v>
      </c>
      <c r="D10" s="41" t="s">
        <v>126</v>
      </c>
      <c r="E10" s="36">
        <v>2</v>
      </c>
      <c r="F10" s="36">
        <v>4</v>
      </c>
      <c r="G10" s="36">
        <v>2</v>
      </c>
      <c r="H10" s="36">
        <v>8</v>
      </c>
      <c r="I10" s="36">
        <v>8</v>
      </c>
      <c r="J10" s="30"/>
      <c r="K10" s="30"/>
      <c r="L10" s="30"/>
      <c r="M10" s="30"/>
      <c r="N10" s="30"/>
      <c r="O10" s="30"/>
      <c r="P10" s="32"/>
      <c r="Q10" s="20"/>
    </row>
    <row r="11" spans="2:17">
      <c r="B11" s="13">
        <v>7</v>
      </c>
      <c r="C11" s="8" t="s">
        <v>122</v>
      </c>
      <c r="D11" s="12" t="s">
        <v>127</v>
      </c>
      <c r="E11" s="9">
        <v>8</v>
      </c>
      <c r="F11" s="9">
        <v>12</v>
      </c>
      <c r="G11" s="9">
        <v>3</v>
      </c>
      <c r="H11" s="13">
        <v>36</v>
      </c>
      <c r="I11" s="13">
        <v>24</v>
      </c>
      <c r="J11" s="9" t="s">
        <v>56</v>
      </c>
      <c r="K11" s="9"/>
      <c r="L11" s="9"/>
      <c r="M11" s="9"/>
      <c r="N11" s="9"/>
      <c r="O11" s="11"/>
      <c r="P11" s="7"/>
      <c r="Q11" s="7"/>
    </row>
    <row r="12" spans="2:17">
      <c r="B12" s="40">
        <v>8</v>
      </c>
      <c r="C12" s="21" t="s">
        <v>122</v>
      </c>
      <c r="D12" s="41" t="s">
        <v>128</v>
      </c>
      <c r="E12" s="36">
        <v>4</v>
      </c>
      <c r="F12" s="36">
        <v>8</v>
      </c>
      <c r="G12" s="36">
        <v>3</v>
      </c>
      <c r="H12" s="36">
        <v>24</v>
      </c>
      <c r="I12" s="36">
        <v>12</v>
      </c>
      <c r="J12" s="30"/>
      <c r="K12" s="30"/>
      <c r="L12" s="30"/>
      <c r="M12" s="30"/>
      <c r="N12" s="30"/>
      <c r="O12" s="30"/>
      <c r="P12" s="32"/>
      <c r="Q12" s="20"/>
    </row>
    <row r="13" spans="2:17">
      <c r="J13" s="44"/>
      <c r="K13" s="44"/>
    </row>
    <row r="14" spans="2:17" ht="15.75">
      <c r="B14" s="83" t="s">
        <v>91</v>
      </c>
      <c r="C14" s="84"/>
      <c r="D14" s="84"/>
      <c r="E14" s="84"/>
      <c r="F14" s="84"/>
      <c r="G14" s="84"/>
      <c r="H14" s="84"/>
      <c r="I14" s="84"/>
      <c r="J14" s="84"/>
      <c r="K14" s="84"/>
      <c r="L14" s="85"/>
    </row>
    <row r="15" spans="2:17" ht="60.75">
      <c r="B15" s="10"/>
      <c r="C15" s="10" t="s">
        <v>92</v>
      </c>
      <c r="D15" s="10" t="s">
        <v>93</v>
      </c>
      <c r="E15" s="6" t="s">
        <v>94</v>
      </c>
      <c r="F15" s="6" t="s">
        <v>95</v>
      </c>
      <c r="G15" s="6" t="s">
        <v>45</v>
      </c>
      <c r="H15" s="6" t="s">
        <v>96</v>
      </c>
      <c r="I15" s="10" t="s">
        <v>97</v>
      </c>
      <c r="J15" s="10" t="s">
        <v>98</v>
      </c>
      <c r="K15" s="10"/>
      <c r="L15" s="10"/>
    </row>
    <row r="16" spans="2:17">
      <c r="B16" s="15"/>
      <c r="C16" s="15"/>
      <c r="D16" s="14"/>
      <c r="E16" s="14"/>
      <c r="F16" s="14"/>
      <c r="G16" s="14"/>
      <c r="H16" s="14"/>
      <c r="I16" s="14"/>
      <c r="J16" s="14"/>
      <c r="K16" s="14"/>
      <c r="L16" s="16"/>
    </row>
    <row r="17" spans="1:12">
      <c r="B17" s="34"/>
      <c r="C17" s="34" t="s">
        <v>99</v>
      </c>
      <c r="D17" s="35">
        <f>ROUNDUP(SUM(I5:I12)/E17,0)</f>
        <v>5</v>
      </c>
      <c r="E17" s="35">
        <v>16</v>
      </c>
      <c r="F17" s="35">
        <v>32</v>
      </c>
      <c r="G17" s="35">
        <f>D17*F17</f>
        <v>160</v>
      </c>
      <c r="H17" s="35">
        <f>D17*E17</f>
        <v>80</v>
      </c>
      <c r="I17" s="35" t="s">
        <v>129</v>
      </c>
      <c r="J17" s="35" t="s">
        <v>101</v>
      </c>
      <c r="K17" s="35"/>
      <c r="L17" s="75"/>
    </row>
    <row r="18" spans="1:12">
      <c r="B18" s="15"/>
      <c r="C18" s="15" t="s">
        <v>130</v>
      </c>
      <c r="D18" s="14"/>
      <c r="E18" s="14"/>
      <c r="F18" s="14"/>
      <c r="G18" s="14"/>
      <c r="H18" s="14"/>
      <c r="I18" s="14"/>
      <c r="J18" s="14"/>
      <c r="K18" s="14"/>
      <c r="L18" s="16"/>
    </row>
    <row r="19" spans="1:12">
      <c r="J19" s="44"/>
      <c r="K19" s="44"/>
    </row>
    <row r="20" spans="1:12" ht="15.75">
      <c r="B20" s="83" t="s">
        <v>115</v>
      </c>
      <c r="C20" s="84"/>
      <c r="D20" s="84"/>
      <c r="E20" s="84"/>
      <c r="F20" s="84"/>
      <c r="G20" s="84"/>
      <c r="H20" s="84"/>
      <c r="I20" s="84"/>
      <c r="J20" s="84"/>
      <c r="K20" s="84"/>
      <c r="L20" s="85"/>
    </row>
    <row r="21" spans="1:12" ht="60.75">
      <c r="B21" s="10"/>
      <c r="C21" s="10" t="s">
        <v>92</v>
      </c>
      <c r="D21" s="17" t="s">
        <v>42</v>
      </c>
      <c r="E21" s="17" t="s">
        <v>43</v>
      </c>
      <c r="F21" s="17" t="s">
        <v>44</v>
      </c>
      <c r="G21" s="17" t="s">
        <v>45</v>
      </c>
      <c r="H21" s="17" t="s">
        <v>46</v>
      </c>
      <c r="I21" s="17" t="s">
        <v>47</v>
      </c>
      <c r="J21" s="17" t="s">
        <v>48</v>
      </c>
      <c r="K21" s="10"/>
    </row>
    <row r="22" spans="1:12">
      <c r="B22" s="15"/>
      <c r="C22" s="15"/>
      <c r="D22" s="14"/>
      <c r="E22" s="14"/>
      <c r="F22" s="14"/>
      <c r="G22" s="14"/>
      <c r="H22" s="14"/>
      <c r="I22" s="14"/>
      <c r="J22" s="14"/>
      <c r="K22" s="16"/>
    </row>
    <row r="23" spans="1:12">
      <c r="B23" s="34"/>
      <c r="C23" s="34" t="s">
        <v>131</v>
      </c>
      <c r="D23" s="35">
        <v>8</v>
      </c>
      <c r="E23" s="35">
        <v>16</v>
      </c>
      <c r="F23" s="35">
        <v>3</v>
      </c>
      <c r="G23" s="35">
        <v>48</v>
      </c>
      <c r="H23" s="35">
        <v>24</v>
      </c>
      <c r="I23" s="35" t="s">
        <v>75</v>
      </c>
      <c r="J23" s="35" t="s">
        <v>113</v>
      </c>
      <c r="K23" s="75"/>
    </row>
    <row r="24" spans="1:12">
      <c r="B24" s="15"/>
      <c r="C24" s="15" t="s">
        <v>116</v>
      </c>
      <c r="D24" s="14"/>
      <c r="E24" s="14"/>
      <c r="F24" s="14"/>
      <c r="G24" s="14"/>
      <c r="H24" s="14"/>
      <c r="I24" s="14"/>
      <c r="J24" s="14" t="s">
        <v>100</v>
      </c>
      <c r="K24" s="14"/>
    </row>
    <row r="25" spans="1:12">
      <c r="J25" s="44"/>
      <c r="K25" s="44"/>
    </row>
    <row r="26" spans="1:12">
      <c r="J26" s="44"/>
      <c r="K26" s="44"/>
    </row>
    <row r="27" spans="1:12">
      <c r="A27" t="s">
        <v>102</v>
      </c>
      <c r="B27" s="86" t="s">
        <v>103</v>
      </c>
      <c r="C27" s="86"/>
      <c r="D27" s="86"/>
      <c r="J27" s="44"/>
      <c r="K27" s="44"/>
    </row>
    <row r="28" spans="1:12">
      <c r="B28" s="86"/>
      <c r="C28" s="86"/>
      <c r="D28" s="86"/>
      <c r="J28" s="44"/>
      <c r="K28" s="44"/>
    </row>
    <row r="29" spans="1:12">
      <c r="B29" s="86"/>
      <c r="C29" s="86"/>
      <c r="D29" s="86"/>
      <c r="J29" s="44"/>
      <c r="K29" s="44"/>
    </row>
    <row r="30" spans="1:12">
      <c r="B30" s="86"/>
      <c r="C30" s="86"/>
      <c r="D30" s="86"/>
      <c r="J30" s="44"/>
      <c r="K30" s="44"/>
    </row>
    <row r="31" spans="1:12">
      <c r="B31" s="86"/>
      <c r="C31" s="86"/>
      <c r="D31" s="86"/>
      <c r="J31" s="44"/>
      <c r="K31" s="44"/>
    </row>
    <row r="32" spans="1:12">
      <c r="J32" s="44"/>
      <c r="K32" s="44"/>
    </row>
    <row r="33" spans="2:11">
      <c r="B33" s="80" t="s">
        <v>132</v>
      </c>
      <c r="J33" s="44"/>
      <c r="K33" s="44"/>
    </row>
    <row r="34" spans="2:11">
      <c r="J34" s="44"/>
      <c r="K34" s="44"/>
    </row>
  </sheetData>
  <mergeCells count="5">
    <mergeCell ref="B1:D1"/>
    <mergeCell ref="B3:Q3"/>
    <mergeCell ref="B14:L14"/>
    <mergeCell ref="B20:L20"/>
    <mergeCell ref="B27:D3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8FA96-3717-4DBB-B8C1-155FEF0930A0}">
  <dimension ref="A1:Q34"/>
  <sheetViews>
    <sheetView workbookViewId="0">
      <selection activeCell="N14" sqref="N14"/>
    </sheetView>
  </sheetViews>
  <sheetFormatPr defaultRowHeight="15"/>
  <cols>
    <col min="3" max="3" width="22" bestFit="1" customWidth="1"/>
    <col min="4" max="4" width="28.28515625" bestFit="1" customWidth="1"/>
    <col min="10" max="10" width="14.7109375" bestFit="1" customWidth="1"/>
    <col min="17" max="17" width="49.42578125" bestFit="1" customWidth="1"/>
  </cols>
  <sheetData>
    <row r="1" spans="2:17" ht="18.75">
      <c r="B1" s="81" t="s">
        <v>121</v>
      </c>
      <c r="C1" s="81"/>
      <c r="D1" s="81"/>
      <c r="J1" s="44"/>
      <c r="K1" s="44"/>
    </row>
    <row r="2" spans="2:17">
      <c r="J2" s="44"/>
      <c r="K2" s="44"/>
    </row>
    <row r="3" spans="2:17" ht="15.75">
      <c r="B3" s="82" t="s">
        <v>38</v>
      </c>
      <c r="C3" s="82"/>
      <c r="D3" s="82"/>
      <c r="E3" s="82"/>
      <c r="F3" s="82"/>
      <c r="G3" s="82"/>
      <c r="H3" s="82"/>
      <c r="I3" s="82"/>
      <c r="J3" s="82"/>
      <c r="K3" s="82"/>
      <c r="L3" s="82"/>
      <c r="M3" s="82"/>
      <c r="N3" s="82"/>
      <c r="O3" s="82"/>
      <c r="P3" s="82"/>
      <c r="Q3" s="82"/>
    </row>
    <row r="4" spans="2:17" ht="60.75">
      <c r="B4" s="17" t="s">
        <v>39</v>
      </c>
      <c r="C4" s="17" t="s">
        <v>40</v>
      </c>
      <c r="D4" s="17" t="s">
        <v>41</v>
      </c>
      <c r="E4" s="17" t="s">
        <v>42</v>
      </c>
      <c r="F4" s="17" t="s">
        <v>43</v>
      </c>
      <c r="G4" s="17" t="s">
        <v>44</v>
      </c>
      <c r="H4" s="17" t="s">
        <v>45</v>
      </c>
      <c r="I4" s="17" t="s">
        <v>46</v>
      </c>
      <c r="J4" s="17" t="s">
        <v>47</v>
      </c>
      <c r="K4" s="17" t="s">
        <v>48</v>
      </c>
      <c r="L4" s="17" t="s">
        <v>109</v>
      </c>
      <c r="M4" s="17" t="s">
        <v>49</v>
      </c>
      <c r="N4" s="17" t="s">
        <v>50</v>
      </c>
      <c r="O4" s="17" t="s">
        <v>51</v>
      </c>
      <c r="P4" s="17" t="s">
        <v>52</v>
      </c>
      <c r="Q4" s="17" t="s">
        <v>53</v>
      </c>
    </row>
    <row r="5" spans="2:17" ht="60.75">
      <c r="B5" s="13">
        <v>1</v>
      </c>
      <c r="C5" s="8" t="s">
        <v>104</v>
      </c>
      <c r="D5" s="12" t="s">
        <v>80</v>
      </c>
      <c r="E5" s="9">
        <v>2</v>
      </c>
      <c r="F5" s="9">
        <v>4</v>
      </c>
      <c r="G5" s="9">
        <v>4</v>
      </c>
      <c r="H5" s="13">
        <v>16</v>
      </c>
      <c r="I5" s="13">
        <v>8</v>
      </c>
      <c r="J5" s="9" t="s">
        <v>75</v>
      </c>
      <c r="K5" s="9" t="s">
        <v>113</v>
      </c>
      <c r="L5" s="9" t="s">
        <v>57</v>
      </c>
      <c r="M5" s="9" t="s">
        <v>58</v>
      </c>
      <c r="N5" s="9" t="s">
        <v>82</v>
      </c>
      <c r="O5" s="11" t="s">
        <v>83</v>
      </c>
      <c r="P5" s="7"/>
      <c r="Q5" s="7"/>
    </row>
    <row r="6" spans="2:17">
      <c r="B6" s="13">
        <v>2</v>
      </c>
      <c r="C6" s="8" t="s">
        <v>104</v>
      </c>
      <c r="D6" s="8" t="s">
        <v>55</v>
      </c>
      <c r="E6" s="13">
        <v>2</v>
      </c>
      <c r="F6" s="13">
        <v>4</v>
      </c>
      <c r="G6" s="33">
        <v>4</v>
      </c>
      <c r="H6" s="36">
        <v>16</v>
      </c>
      <c r="I6" s="13">
        <v>8</v>
      </c>
      <c r="J6" s="13" t="s">
        <v>56</v>
      </c>
      <c r="K6" s="13"/>
      <c r="L6" s="13"/>
      <c r="M6" s="9" t="s">
        <v>57</v>
      </c>
      <c r="N6" s="9" t="s">
        <v>58</v>
      </c>
      <c r="O6" s="11" t="s">
        <v>59</v>
      </c>
      <c r="P6" s="7" t="s">
        <v>60</v>
      </c>
      <c r="Q6" s="7" t="s">
        <v>61</v>
      </c>
    </row>
    <row r="7" spans="2:17">
      <c r="B7" s="79">
        <v>3</v>
      </c>
      <c r="C7" s="28" t="s">
        <v>122</v>
      </c>
      <c r="D7" s="25" t="s">
        <v>123</v>
      </c>
      <c r="E7" s="26">
        <v>2</v>
      </c>
      <c r="F7" s="26">
        <v>4</v>
      </c>
      <c r="G7" s="26">
        <v>4</v>
      </c>
      <c r="H7" s="36">
        <v>16</v>
      </c>
      <c r="I7" s="26">
        <v>8</v>
      </c>
      <c r="J7" s="26" t="s">
        <v>56</v>
      </c>
      <c r="K7" s="26"/>
      <c r="L7" s="26"/>
      <c r="M7" s="27" t="s">
        <v>66</v>
      </c>
      <c r="N7" s="27" t="s">
        <v>67</v>
      </c>
      <c r="O7" s="27" t="s">
        <v>59</v>
      </c>
      <c r="P7" s="27" t="s">
        <v>68</v>
      </c>
      <c r="Q7" s="27" t="s">
        <v>69</v>
      </c>
    </row>
    <row r="8" spans="2:17">
      <c r="B8" s="79">
        <v>4</v>
      </c>
      <c r="C8" s="28" t="s">
        <v>122</v>
      </c>
      <c r="D8" s="25" t="s">
        <v>124</v>
      </c>
      <c r="E8" s="26">
        <v>2</v>
      </c>
      <c r="F8" s="26">
        <v>4</v>
      </c>
      <c r="G8" s="26">
        <v>4</v>
      </c>
      <c r="H8" s="36">
        <v>16</v>
      </c>
      <c r="I8" s="26">
        <v>8</v>
      </c>
      <c r="J8" s="26" t="s">
        <v>56</v>
      </c>
      <c r="K8" s="26"/>
      <c r="L8" s="26"/>
      <c r="M8" s="27" t="s">
        <v>66</v>
      </c>
      <c r="N8" s="27" t="s">
        <v>67</v>
      </c>
      <c r="O8" s="27" t="s">
        <v>59</v>
      </c>
      <c r="P8" s="27" t="s">
        <v>71</v>
      </c>
      <c r="Q8" s="27" t="s">
        <v>72</v>
      </c>
    </row>
    <row r="9" spans="2:17">
      <c r="B9" s="79">
        <v>5</v>
      </c>
      <c r="C9" s="28" t="s">
        <v>122</v>
      </c>
      <c r="D9" s="25" t="s">
        <v>125</v>
      </c>
      <c r="E9" s="26">
        <v>2</v>
      </c>
      <c r="F9" s="26">
        <v>4</v>
      </c>
      <c r="G9" s="26">
        <v>4</v>
      </c>
      <c r="H9" s="36">
        <v>16</v>
      </c>
      <c r="I9" s="26">
        <v>8</v>
      </c>
      <c r="J9" s="26" t="s">
        <v>56</v>
      </c>
      <c r="K9" s="26"/>
      <c r="L9" s="26"/>
      <c r="M9" s="27" t="s">
        <v>57</v>
      </c>
      <c r="N9" s="27" t="s">
        <v>58</v>
      </c>
      <c r="O9" s="27" t="s">
        <v>59</v>
      </c>
      <c r="P9" s="27" t="s">
        <v>70</v>
      </c>
      <c r="Q9" s="27" t="s">
        <v>73</v>
      </c>
    </row>
    <row r="10" spans="2:17">
      <c r="B10" s="40">
        <v>6</v>
      </c>
      <c r="C10" s="21" t="s">
        <v>104</v>
      </c>
      <c r="D10" s="41" t="s">
        <v>126</v>
      </c>
      <c r="E10" s="36">
        <v>2</v>
      </c>
      <c r="F10" s="36">
        <v>4</v>
      </c>
      <c r="G10" s="36">
        <v>4</v>
      </c>
      <c r="H10" s="36">
        <v>16</v>
      </c>
      <c r="I10" s="36">
        <v>8</v>
      </c>
      <c r="J10" s="30"/>
      <c r="K10" s="30"/>
      <c r="L10" s="30"/>
      <c r="M10" s="30"/>
      <c r="N10" s="30"/>
      <c r="O10" s="30"/>
      <c r="P10" s="32"/>
      <c r="Q10" s="20"/>
    </row>
    <row r="11" spans="2:17">
      <c r="B11" s="13">
        <v>7</v>
      </c>
      <c r="C11" s="8" t="s">
        <v>122</v>
      </c>
      <c r="D11" s="12" t="s">
        <v>127</v>
      </c>
      <c r="E11" s="9">
        <v>8</v>
      </c>
      <c r="F11" s="9">
        <v>12</v>
      </c>
      <c r="G11" s="9">
        <v>8</v>
      </c>
      <c r="H11" s="13">
        <v>96</v>
      </c>
      <c r="I11" s="13">
        <v>64</v>
      </c>
      <c r="J11" s="9" t="s">
        <v>56</v>
      </c>
      <c r="K11" s="9"/>
      <c r="L11" s="9"/>
      <c r="M11" s="9"/>
      <c r="N11" s="9"/>
      <c r="O11" s="11"/>
      <c r="P11" s="7"/>
      <c r="Q11" s="7"/>
    </row>
    <row r="12" spans="2:17">
      <c r="B12" s="40">
        <v>8</v>
      </c>
      <c r="C12" s="21" t="s">
        <v>122</v>
      </c>
      <c r="D12" s="41" t="s">
        <v>128</v>
      </c>
      <c r="E12" s="36">
        <v>4</v>
      </c>
      <c r="F12" s="36">
        <v>8</v>
      </c>
      <c r="G12" s="36">
        <v>6</v>
      </c>
      <c r="H12" s="36">
        <v>48</v>
      </c>
      <c r="I12" s="36">
        <v>24</v>
      </c>
      <c r="J12" s="30"/>
      <c r="K12" s="30"/>
      <c r="L12" s="30"/>
      <c r="M12" s="30"/>
      <c r="N12" s="30"/>
      <c r="O12" s="30"/>
      <c r="P12" s="32"/>
      <c r="Q12" s="20"/>
    </row>
    <row r="13" spans="2:17">
      <c r="J13" s="44"/>
      <c r="K13" s="44"/>
    </row>
    <row r="14" spans="2:17" ht="15.75">
      <c r="B14" s="83" t="s">
        <v>91</v>
      </c>
      <c r="C14" s="84"/>
      <c r="D14" s="84"/>
      <c r="E14" s="84"/>
      <c r="F14" s="84"/>
      <c r="G14" s="84"/>
      <c r="H14" s="84"/>
      <c r="I14" s="84"/>
      <c r="J14" s="84"/>
      <c r="K14" s="84"/>
      <c r="L14" s="85"/>
    </row>
    <row r="15" spans="2:17" ht="60.75">
      <c r="B15" s="10"/>
      <c r="C15" s="10" t="s">
        <v>92</v>
      </c>
      <c r="D15" s="10" t="s">
        <v>93</v>
      </c>
      <c r="E15" s="6" t="s">
        <v>94</v>
      </c>
      <c r="F15" s="6" t="s">
        <v>95</v>
      </c>
      <c r="G15" s="6" t="s">
        <v>45</v>
      </c>
      <c r="H15" s="6" t="s">
        <v>96</v>
      </c>
      <c r="I15" s="10" t="s">
        <v>97</v>
      </c>
      <c r="J15" s="10" t="s">
        <v>98</v>
      </c>
      <c r="K15" s="10"/>
      <c r="L15" s="10"/>
    </row>
    <row r="16" spans="2:17">
      <c r="B16" s="15"/>
      <c r="C16" s="15"/>
      <c r="D16" s="14"/>
      <c r="E16" s="14"/>
      <c r="F16" s="14"/>
      <c r="G16" s="14"/>
      <c r="H16" s="14"/>
      <c r="I16" s="14"/>
      <c r="J16" s="14"/>
      <c r="K16" s="14"/>
      <c r="L16" s="16"/>
    </row>
    <row r="17" spans="1:12">
      <c r="B17" s="34"/>
      <c r="C17" s="34" t="s">
        <v>99</v>
      </c>
      <c r="D17" s="35">
        <f>ROUNDUP(SUM(I5:I12)/E17,0)</f>
        <v>9</v>
      </c>
      <c r="E17" s="35">
        <v>16</v>
      </c>
      <c r="F17" s="35">
        <v>32</v>
      </c>
      <c r="G17" s="35">
        <f>D17*F17</f>
        <v>288</v>
      </c>
      <c r="H17" s="35">
        <f>D17*E17</f>
        <v>144</v>
      </c>
      <c r="I17" s="35" t="s">
        <v>133</v>
      </c>
      <c r="J17" s="35" t="s">
        <v>101</v>
      </c>
      <c r="K17" s="35"/>
      <c r="L17" s="75"/>
    </row>
    <row r="18" spans="1:12">
      <c r="B18" s="15"/>
      <c r="C18" s="15" t="s">
        <v>130</v>
      </c>
      <c r="D18" s="14"/>
      <c r="E18" s="14"/>
      <c r="F18" s="14"/>
      <c r="G18" s="14"/>
      <c r="H18" s="14"/>
      <c r="I18" s="14"/>
      <c r="J18" s="14"/>
      <c r="K18" s="14"/>
      <c r="L18" s="16"/>
    </row>
    <row r="19" spans="1:12">
      <c r="J19" s="44"/>
      <c r="K19" s="44"/>
    </row>
    <row r="20" spans="1:12" ht="15.75">
      <c r="B20" s="83" t="s">
        <v>115</v>
      </c>
      <c r="C20" s="84"/>
      <c r="D20" s="84"/>
      <c r="E20" s="84"/>
      <c r="F20" s="84"/>
      <c r="G20" s="84"/>
      <c r="H20" s="84"/>
      <c r="I20" s="84"/>
      <c r="J20" s="84"/>
      <c r="K20" s="84"/>
      <c r="L20" s="85"/>
    </row>
    <row r="21" spans="1:12" ht="60.75">
      <c r="B21" s="10"/>
      <c r="C21" s="10" t="s">
        <v>92</v>
      </c>
      <c r="D21" s="17" t="s">
        <v>42</v>
      </c>
      <c r="E21" s="17" t="s">
        <v>43</v>
      </c>
      <c r="F21" s="17" t="s">
        <v>44</v>
      </c>
      <c r="G21" s="17" t="s">
        <v>45</v>
      </c>
      <c r="H21" s="17" t="s">
        <v>46</v>
      </c>
      <c r="I21" s="17" t="s">
        <v>47</v>
      </c>
      <c r="J21" s="17" t="s">
        <v>48</v>
      </c>
      <c r="K21" s="10"/>
    </row>
    <row r="22" spans="1:12">
      <c r="B22" s="15"/>
      <c r="C22" s="15"/>
      <c r="D22" s="14"/>
      <c r="E22" s="14"/>
      <c r="F22" s="14"/>
      <c r="G22" s="14"/>
      <c r="H22" s="14"/>
      <c r="I22" s="14"/>
      <c r="J22" s="14"/>
      <c r="K22" s="16"/>
    </row>
    <row r="23" spans="1:12">
      <c r="B23" s="34"/>
      <c r="C23" s="34" t="s">
        <v>131</v>
      </c>
      <c r="D23" s="35">
        <v>8</v>
      </c>
      <c r="E23" s="35">
        <v>16</v>
      </c>
      <c r="F23" s="35">
        <v>3</v>
      </c>
      <c r="G23" s="35">
        <v>48</v>
      </c>
      <c r="H23" s="35">
        <v>24</v>
      </c>
      <c r="I23" s="35" t="s">
        <v>75</v>
      </c>
      <c r="J23" s="35" t="s">
        <v>113</v>
      </c>
      <c r="K23" s="75"/>
    </row>
    <row r="24" spans="1:12">
      <c r="B24" s="15"/>
      <c r="C24" s="15" t="s">
        <v>116</v>
      </c>
      <c r="D24" s="14"/>
      <c r="E24" s="14"/>
      <c r="F24" s="14"/>
      <c r="G24" s="14"/>
      <c r="H24" s="14"/>
      <c r="I24" s="14"/>
      <c r="J24" s="14" t="s">
        <v>129</v>
      </c>
      <c r="K24" s="14"/>
    </row>
    <row r="25" spans="1:12">
      <c r="J25" s="44"/>
      <c r="K25" s="44"/>
    </row>
    <row r="26" spans="1:12">
      <c r="J26" s="44"/>
      <c r="K26" s="44"/>
    </row>
    <row r="27" spans="1:12">
      <c r="A27" t="s">
        <v>102</v>
      </c>
      <c r="B27" s="86" t="s">
        <v>103</v>
      </c>
      <c r="C27" s="86"/>
      <c r="D27" s="86"/>
      <c r="J27" s="44"/>
      <c r="K27" s="44"/>
    </row>
    <row r="28" spans="1:12">
      <c r="B28" s="86"/>
      <c r="C28" s="86"/>
      <c r="D28" s="86"/>
      <c r="J28" s="44"/>
      <c r="K28" s="44"/>
    </row>
    <row r="29" spans="1:12">
      <c r="B29" s="86"/>
      <c r="C29" s="86"/>
      <c r="D29" s="86"/>
      <c r="J29" s="44"/>
      <c r="K29" s="44"/>
    </row>
    <row r="30" spans="1:12">
      <c r="B30" s="86"/>
      <c r="C30" s="86"/>
      <c r="D30" s="86"/>
      <c r="J30" s="44"/>
      <c r="K30" s="44"/>
    </row>
    <row r="31" spans="1:12">
      <c r="B31" s="86"/>
      <c r="C31" s="86"/>
      <c r="D31" s="86"/>
      <c r="J31" s="44"/>
      <c r="K31" s="44"/>
    </row>
    <row r="32" spans="1:12">
      <c r="J32" s="44"/>
      <c r="K32" s="44"/>
    </row>
    <row r="33" spans="2:11">
      <c r="B33" s="80" t="s">
        <v>132</v>
      </c>
      <c r="J33" s="44"/>
      <c r="K33" s="44"/>
    </row>
    <row r="34" spans="2:11">
      <c r="J34" s="44"/>
      <c r="K34" s="44"/>
    </row>
  </sheetData>
  <mergeCells count="5">
    <mergeCell ref="B1:D1"/>
    <mergeCell ref="B3:Q3"/>
    <mergeCell ref="B14:L14"/>
    <mergeCell ref="B20:L20"/>
    <mergeCell ref="B27:D3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61A37-010D-4394-B4FD-B212C57EB6CF}">
  <dimension ref="B2:D24"/>
  <sheetViews>
    <sheetView workbookViewId="0">
      <selection activeCell="F18" sqref="F18"/>
    </sheetView>
  </sheetViews>
  <sheetFormatPr defaultColWidth="8.85546875" defaultRowHeight="14.45"/>
  <cols>
    <col min="1" max="1" width="8.85546875" style="1"/>
    <col min="2" max="2" width="32.140625" style="1" bestFit="1" customWidth="1"/>
    <col min="3" max="3" width="33.7109375" style="5" customWidth="1"/>
    <col min="4" max="4" width="20.7109375" style="1" bestFit="1" customWidth="1"/>
    <col min="5" max="16384" width="8.85546875" style="1"/>
  </cols>
  <sheetData>
    <row r="2" spans="2:4" ht="18.600000000000001">
      <c r="B2" s="90" t="s">
        <v>134</v>
      </c>
      <c r="C2" s="90"/>
      <c r="D2" s="90"/>
    </row>
    <row r="3" spans="2:4">
      <c r="B3" s="2" t="s">
        <v>135</v>
      </c>
      <c r="C3" s="3" t="s">
        <v>136</v>
      </c>
      <c r="D3" s="3" t="s">
        <v>49</v>
      </c>
    </row>
    <row r="4" spans="2:4">
      <c r="B4" s="4" t="s">
        <v>137</v>
      </c>
      <c r="C4" s="4" t="s">
        <v>138</v>
      </c>
      <c r="D4" s="4" t="s">
        <v>139</v>
      </c>
    </row>
    <row r="5" spans="2:4">
      <c r="B5" s="91" t="s">
        <v>140</v>
      </c>
      <c r="C5" s="4" t="s">
        <v>141</v>
      </c>
      <c r="D5" s="91" t="s">
        <v>142</v>
      </c>
    </row>
    <row r="6" spans="2:4">
      <c r="B6" s="91"/>
      <c r="C6" s="4" t="s">
        <v>143</v>
      </c>
      <c r="D6" s="91"/>
    </row>
    <row r="7" spans="2:4">
      <c r="B7" s="91"/>
      <c r="C7" s="4" t="s">
        <v>144</v>
      </c>
      <c r="D7" s="91"/>
    </row>
    <row r="8" spans="2:4">
      <c r="B8" s="91" t="s">
        <v>145</v>
      </c>
      <c r="C8" s="91" t="s">
        <v>146</v>
      </c>
      <c r="D8" s="91" t="s">
        <v>139</v>
      </c>
    </row>
    <row r="9" spans="2:4">
      <c r="B9" s="91"/>
      <c r="C9" s="91"/>
      <c r="D9" s="91"/>
    </row>
    <row r="10" spans="2:4">
      <c r="B10" s="91"/>
      <c r="C10" s="91"/>
      <c r="D10" s="91"/>
    </row>
    <row r="11" spans="2:4" ht="15">
      <c r="B11" s="4" t="s">
        <v>147</v>
      </c>
      <c r="C11" s="4" t="s">
        <v>148</v>
      </c>
      <c r="D11" s="4" t="s">
        <v>149</v>
      </c>
    </row>
    <row r="12" spans="2:4">
      <c r="B12" s="4" t="s">
        <v>150</v>
      </c>
      <c r="C12" s="4">
        <v>1.27</v>
      </c>
      <c r="D12" s="4" t="s">
        <v>151</v>
      </c>
    </row>
    <row r="13" spans="2:4" ht="15">
      <c r="B13" s="4" t="s">
        <v>152</v>
      </c>
      <c r="C13" s="4" t="s">
        <v>153</v>
      </c>
      <c r="D13" s="4" t="s">
        <v>149</v>
      </c>
    </row>
    <row r="14" spans="2:4" ht="26.1">
      <c r="B14" s="4" t="s">
        <v>154</v>
      </c>
      <c r="C14" s="4" t="s">
        <v>155</v>
      </c>
      <c r="D14" s="4" t="s">
        <v>156</v>
      </c>
    </row>
    <row r="15" spans="2:4">
      <c r="B15" s="4" t="s">
        <v>157</v>
      </c>
      <c r="C15" s="4" t="s">
        <v>158</v>
      </c>
      <c r="D15" s="4" t="s">
        <v>156</v>
      </c>
    </row>
    <row r="16" spans="2:4">
      <c r="B16" s="4" t="s">
        <v>159</v>
      </c>
      <c r="C16" s="4" t="s">
        <v>160</v>
      </c>
      <c r="D16" s="4"/>
    </row>
    <row r="17" spans="2:4">
      <c r="B17" s="4" t="s">
        <v>161</v>
      </c>
      <c r="C17" s="4" t="s">
        <v>162</v>
      </c>
      <c r="D17" s="4"/>
    </row>
    <row r="18" spans="2:4">
      <c r="B18" s="4" t="s">
        <v>163</v>
      </c>
      <c r="C18" s="4" t="s">
        <v>164</v>
      </c>
      <c r="D18" s="4"/>
    </row>
    <row r="19" spans="2:4">
      <c r="B19" s="4" t="s">
        <v>165</v>
      </c>
      <c r="C19" s="4"/>
      <c r="D19" s="4"/>
    </row>
    <row r="20" spans="2:4" ht="15"/>
    <row r="21" spans="2:4" ht="15"/>
    <row r="22" spans="2:4" ht="15"/>
    <row r="23" spans="2:4" ht="15"/>
    <row r="24" spans="2:4" ht="15"/>
  </sheetData>
  <mergeCells count="6">
    <mergeCell ref="B2:D2"/>
    <mergeCell ref="B5:B7"/>
    <mergeCell ref="D5:D7"/>
    <mergeCell ref="B8:B10"/>
    <mergeCell ref="C8:C10"/>
    <mergeCell ref="D8:D10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c8cf51d-6865-4274-af30-b4ce83c6774e">
      <Terms xmlns="http://schemas.microsoft.com/office/infopath/2007/PartnerControls"/>
    </lcf76f155ced4ddcb4097134ff3c332f>
    <TaxCatchAll xmlns="19650a09-bea8-446c-93c1-da0fa3a110bb" xsi:nil="true"/>
    <DateTime xmlns="dc8cf51d-6865-4274-af30-b4ce83c6774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27C8883F200AE4AA7DC677F98F1DD40" ma:contentTypeVersion="16" ma:contentTypeDescription="Create a new document." ma:contentTypeScope="" ma:versionID="a1779e53161d6d5348f280ebd4690fae">
  <xsd:schema xmlns:xsd="http://www.w3.org/2001/XMLSchema" xmlns:xs="http://www.w3.org/2001/XMLSchema" xmlns:p="http://schemas.microsoft.com/office/2006/metadata/properties" xmlns:ns2="dc8cf51d-6865-4274-af30-b4ce83c6774e" xmlns:ns3="19650a09-bea8-446c-93c1-da0fa3a110bb" targetNamespace="http://schemas.microsoft.com/office/2006/metadata/properties" ma:root="true" ma:fieldsID="3d677a3aa51ce119610ccb246d5aa128" ns2:_="" ns3:_="">
    <xsd:import namespace="dc8cf51d-6865-4274-af30-b4ce83c6774e"/>
    <xsd:import namespace="19650a09-bea8-446c-93c1-da0fa3a110bb"/>
    <xsd:element name="properties">
      <xsd:complexType>
        <xsd:sequence>
          <xsd:element name="documentManagement">
            <xsd:complexType>
              <xsd:all>
                <xsd:element ref="ns2:DateTime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cf51d-6865-4274-af30-b4ce83c6774e" elementFormDefault="qualified">
    <xsd:import namespace="http://schemas.microsoft.com/office/2006/documentManagement/types"/>
    <xsd:import namespace="http://schemas.microsoft.com/office/infopath/2007/PartnerControls"/>
    <xsd:element name="DateTime" ma:index="8" nillable="true" ma:displayName="Date Time" ma:format="DateOnly" ma:internalName="DateTime">
      <xsd:simpleType>
        <xsd:restriction base="dms:DateTime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5f223b0e-6099-427b-8a06-7e583c67c19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650a09-bea8-446c-93c1-da0fa3a110bb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413833fe-4cef-41d5-9d23-2214a180e42d}" ma:internalName="TaxCatchAll" ma:showField="CatchAllData" ma:web="19650a09-bea8-446c-93c1-da0fa3a110b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7047AD4-445F-4827-BE0F-39FFA5DC5B09}"/>
</file>

<file path=customXml/itemProps2.xml><?xml version="1.0" encoding="utf-8"?>
<ds:datastoreItem xmlns:ds="http://schemas.openxmlformats.org/officeDocument/2006/customXml" ds:itemID="{CDF4002F-8C82-449F-8995-85A4A57531BC}"/>
</file>

<file path=customXml/itemProps3.xml><?xml version="1.0" encoding="utf-8"?>
<ds:datastoreItem xmlns:ds="http://schemas.openxmlformats.org/officeDocument/2006/customXml" ds:itemID="{0F8F3099-65BE-499E-8DFD-67E4554E5BF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2022-09-26T07:46:12Z</dcterms:created>
  <dcterms:modified xsi:type="dcterms:W3CDTF">2026-06-09T06:05:13Z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0x010100227C8883F200AE4AA7DC677F98F1DD40</vt:lpwstr>
  </property>
  <property fmtid="{D5CDD505-2E9C-101B-9397-08002B2CF9AE}" pid="3" name="MediaServiceImageTags">
    <vt:lpwstr/>
  </property>
</Properties>
</file>