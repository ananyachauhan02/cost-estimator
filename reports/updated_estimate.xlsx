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3"/>
  </bookViews>
  <sheets>
    <sheet name="Versioning" sheetId="1" state="visible" r:id="rId3"/>
    <sheet name="Summary" sheetId="2" state="visible" r:id="rId4"/>
    <sheet name="Instructions" sheetId="3" state="visible" r:id="rId5"/>
    <sheet name="Customer Volumes" sheetId="4" state="visible" r:id="rId6"/>
    <sheet name="Per Hour Volumes" sheetId="5" state="visible" r:id="rId7"/>
    <sheet name="Services Calculation" sheetId="6" state="visible" r:id="rId8"/>
    <sheet name="Datasize-Parameters" sheetId="7" state="visible" r:id="rId9"/>
    <sheet name="Data size" sheetId="8" state="visible" r:id="rId10"/>
    <sheet name="DMS size" sheetId="9" state="visible" r:id="rId11"/>
    <sheet name="Cloud sizing inputs" sheetId="10" state="hidden" r:id="rId12"/>
    <sheet name="Cloud Sizing" sheetId="11" state="hidden" r:id="rId13"/>
    <sheet name="AWS Common" sheetId="12" state="hidden" r:id="rId14"/>
    <sheet name="Server size" sheetId="13" state="visible" r:id="rId15"/>
    <sheet name="Bandwidth Calculator" sheetId="14" state="visible" r:id="rId16"/>
    <sheet name="Additional inputs" sheetId="15" state="visible" r:id="rId17"/>
    <sheet name="On-Prem Assumptions" sheetId="16" state="visible" r:id="rId18"/>
    <sheet name="Cloud Assumptions" sheetId="17" state="visible" r:id="rId19"/>
    <sheet name="SaaS Assumptions" sheetId="18" state="visible" r:id="rId20"/>
    <sheet name="Lookup" sheetId="19" state="hidden" r:id="rId21"/>
  </sheets>
  <definedNames>
    <definedName function="false" hidden="false" name="d" vbProcedure="false">#REF!</definedName>
    <definedName function="false" hidden="false" name="q" vbProcedure="false">#REF!</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H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L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P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T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List>
</comments>
</file>

<file path=xl/sharedStrings.xml><?xml version="1.0" encoding="utf-8"?>
<sst xmlns="http://schemas.openxmlformats.org/spreadsheetml/2006/main" count="1096" uniqueCount="502">
  <si>
    <t xml:space="preserve">S.No.</t>
  </si>
  <si>
    <t xml:space="preserve">Version</t>
  </si>
  <si>
    <t xml:space="preserve">Description</t>
  </si>
  <si>
    <t xml:space="preserve">Default Template</t>
  </si>
  <si>
    <t xml:space="preserve">Added volumes sheet, Bandwidth calculator and few automations</t>
  </si>
  <si>
    <t xml:space="preserve">Major changes related to worker nodes calculation based on different Businessnext services Load Testing</t>
  </si>
  <si>
    <t xml:space="preserve">Sheet Name</t>
  </si>
  <si>
    <t xml:space="preserve">Instructions</t>
  </si>
  <si>
    <t xml:space="preserve">This sheet contains Instructions to use Businessnext sizing template</t>
  </si>
  <si>
    <t xml:space="preserve">Customer Volumes</t>
  </si>
  <si>
    <t xml:space="preserve">This sheet contains Application volumes received from customer or based on assumptions</t>
  </si>
  <si>
    <t xml:space="preserve">Per Hour Volumes</t>
  </si>
  <si>
    <t xml:space="preserve">This sheet calculates per hour volumes as per volumes defined in Customer Volumes sheet to derive on services resource utilization</t>
  </si>
  <si>
    <t xml:space="preserve">Services Calculation</t>
  </si>
  <si>
    <t xml:space="preserve">This sheet calculates resources required for each service based on volumes and formulas based on load testing results </t>
  </si>
  <si>
    <t xml:space="preserve">Datasize-Parameters</t>
  </si>
  <si>
    <t xml:space="preserve">This sheet contains BUSINESSNEXT objects and their sizes based on records, fields and such parameters</t>
  </si>
  <si>
    <t xml:space="preserve">Data size</t>
  </si>
  <si>
    <t xml:space="preserve">This sheet calculates Database size based on different objects</t>
  </si>
  <si>
    <t xml:space="preserve">DMS size</t>
  </si>
  <si>
    <t xml:space="preserve">This sheet calculates DMS size based on different objects</t>
  </si>
  <si>
    <t xml:space="preserve">Server size</t>
  </si>
  <si>
    <t xml:space="preserve">This sheet calculates Worker nodes and DB server size based on concurrency</t>
  </si>
  <si>
    <t xml:space="preserve">Bandwidth Calculator</t>
  </si>
  <si>
    <t xml:space="preserve">This sheet calculates Bandwidth calculation as per users defined in Customer Volumes sheet</t>
  </si>
  <si>
    <t xml:space="preserve">Additional Inputs</t>
  </si>
  <si>
    <t xml:space="preserve">This is blank sheet added for any additional inputs which are required for sizing</t>
  </si>
  <si>
    <t xml:space="preserve">On-Prem Assumptions</t>
  </si>
  <si>
    <t xml:space="preserve">This sheet contains assumptions considered for On-prem hosting</t>
  </si>
  <si>
    <t xml:space="preserve">Cloud Assumptions</t>
  </si>
  <si>
    <t xml:space="preserve">This sheet contains assumptions considered for Cloud hosting</t>
  </si>
  <si>
    <t xml:space="preserve">SaaS Assumptions</t>
  </si>
  <si>
    <t xml:space="preserve">This sheet contains assumptions considered for SaaS hosting</t>
  </si>
  <si>
    <t xml:space="preserve">Assumptions</t>
  </si>
  <si>
    <t xml:space="preserve">1. Only Blue marked cell can be modified
2. The consitution of various objects is based as per the assumption of BUSINESSNEXT Objects Table
3. The default size of the system objects may vary depending on number of fields we wish to capture. This will only be determined after the study</t>
  </si>
  <si>
    <t xml:space="preserve">Topic/Table</t>
  </si>
  <si>
    <t xml:space="preserve">CustomerVolumes</t>
  </si>
  <si>
    <t xml:space="preserve">Customer Name</t>
  </si>
  <si>
    <t xml:space="preserve">Add customer name</t>
  </si>
  <si>
    <t xml:space="preserve">Assumptions for sizing</t>
  </si>
  <si>
    <t xml:space="preserve">Edit blue marked cells. Add sizing as per the established method</t>
  </si>
  <si>
    <t xml:space="preserve">Particulars for sizing</t>
  </si>
  <si>
    <t xml:space="preserve">Define what is considered for this bid</t>
  </si>
  <si>
    <t xml:space="preserve">Environments</t>
  </si>
  <si>
    <t xml:space="preserve">Define environments required</t>
  </si>
  <si>
    <t xml:space="preserve">PARAMETERS</t>
  </si>
  <si>
    <t xml:space="preserve">BUSINESSNEXT Objects</t>
  </si>
  <si>
    <t xml:space="preserve">"Business Or Similar Object" Cloumn values can be renamed according to RFP requirement</t>
  </si>
  <si>
    <t xml:space="preserve">"Has Flow Data" Column can be set Yes/No according to RFP Requirement</t>
  </si>
  <si>
    <t xml:space="preserve">Avg Size of Single Extended Field has been taken as 256 Bytes</t>
  </si>
  <si>
    <t xml:space="preserve">Total Object Storage for Single Record is extended for 2.5 times for flow data</t>
  </si>
  <si>
    <t xml:space="preserve">Database File Parameters</t>
  </si>
  <si>
    <t xml:space="preserve">Defined what is considered for calculation of database filed other than CRMNEXT Data tables</t>
  </si>
  <si>
    <t xml:space="preserve">What Constitutes a Object</t>
  </si>
  <si>
    <t xml:space="preserve">It defined that how single object record is associated with other objects in BUSINESSNEXT.</t>
  </si>
  <si>
    <t xml:space="preserve">Update the "Count" according to RFP Requirement</t>
  </si>
  <si>
    <t xml:space="preserve">Avg number of Extended Fields can be considered during calculation based on RFP requirement. Or use default 25</t>
  </si>
  <si>
    <t xml:space="preserve">DATA SIZE</t>
  </si>
  <si>
    <t xml:space="preserve">1st Year, 2nd Year, 3rd Year, 4th Year, 5th Year</t>
  </si>
  <si>
    <t xml:space="preserve">Put the values of total columes for objects for calculation and below "Object Storage" table will give estimate of total storage in GB</t>
  </si>
  <si>
    <t xml:space="preserve">DMS DISK SIZE</t>
  </si>
  <si>
    <t xml:space="preserve">Put the values of total columes for objects for calculation and below "File Storage" table will give estimate of total storage in GB</t>
  </si>
  <si>
    <t xml:space="preserve">SERVER SIZE</t>
  </si>
  <si>
    <t xml:space="preserve">Only edit blue marked cells for integration and webapi cores for database server</t>
  </si>
  <si>
    <t xml:space="preserve">2nd Year, 2nd Year, 3rd Year, 4th Year, 5th Year</t>
  </si>
  <si>
    <t xml:space="preserve">Bandwidth calculation as per users defined in Volumes sheet</t>
  </si>
  <si>
    <t xml:space="preserve">ADDITIONAL INPUTS</t>
  </si>
  <si>
    <t xml:space="preserve">Add any additional inputs which are required for sizing.</t>
  </si>
  <si>
    <t xml:space="preserve">Customer Name: Bandhan Bank</t>
  </si>
  <si>
    <t xml:space="preserve">S. No.</t>
  </si>
  <si>
    <t xml:space="preserve">Y1</t>
  </si>
  <si>
    <t xml:space="preserve">Y2</t>
  </si>
  <si>
    <t xml:space="preserve">Y3</t>
  </si>
  <si>
    <t xml:space="preserve">Y4</t>
  </si>
  <si>
    <t xml:space="preserve">Y5</t>
  </si>
  <si>
    <t xml:space="preserve">YoY Growth %</t>
  </si>
  <si>
    <t xml:space="preserve">Primary Owner</t>
  </si>
  <si>
    <t xml:space="preserve">Secondary Owner</t>
  </si>
  <si>
    <t xml:space="preserve">Total Number of named Users</t>
  </si>
  <si>
    <t xml:space="preserve">Pre-sales</t>
  </si>
  <si>
    <t xml:space="preserve">Number of concurrent users</t>
  </si>
  <si>
    <t xml:space="preserve">Total no. of customers (Retail+Wholesale+SME/MSME)</t>
  </si>
  <si>
    <t xml:space="preserve">Number of Activities per customer (meetings/ calls/ emails) </t>
  </si>
  <si>
    <t xml:space="preserve">Assumption: 2 activities per customer</t>
  </si>
  <si>
    <t xml:space="preserve">Number of Leads</t>
  </si>
  <si>
    <t xml:space="preserve">Number of Activities per lead (meetings/ calls/ emails) </t>
  </si>
  <si>
    <t xml:space="preserve">Assumption: 2 activities per Lead</t>
  </si>
  <si>
    <t xml:space="preserve">Number of Service Requests (Cases)</t>
  </si>
  <si>
    <t xml:space="preserve">Number of Activities (meetings/ calls/ emails) per Service Request (Cases)</t>
  </si>
  <si>
    <t xml:space="preserve">Assumption: 2 activities per Case</t>
  </si>
  <si>
    <t xml:space="preserve">Number of Campaigns</t>
  </si>
  <si>
    <t xml:space="preserve">Assumption: 1 Offer per customer</t>
  </si>
  <si>
    <t xml:space="preserve">Number of Product Holdings per customer</t>
  </si>
  <si>
    <t xml:space="preserve">Assumption: 1 PH per customer</t>
  </si>
  <si>
    <t xml:space="preserve">Number of Concurrent Mobile Users</t>
  </si>
  <si>
    <t xml:space="preserve">Number of documents per customer</t>
  </si>
  <si>
    <t xml:space="preserve">Assumption: 5 documents per Customer</t>
  </si>
  <si>
    <t xml:space="preserve">Number of documents per Lead</t>
  </si>
  <si>
    <t xml:space="preserve">Assumption: 5 documents per Lead</t>
  </si>
  <si>
    <t xml:space="preserve">Number of documents per Service Request (Case)</t>
  </si>
  <si>
    <t xml:space="preserve">Assumption: 5 documents per Case</t>
  </si>
  <si>
    <t xml:space="preserve">Total Num of Documents</t>
  </si>
  <si>
    <t xml:space="preserve">Formula</t>
  </si>
  <si>
    <t xml:space="preserve">Assumption: Sum of above 3</t>
  </si>
  <si>
    <t xml:space="preserve">Sized of document</t>
  </si>
  <si>
    <t xml:space="preserve">256 KB</t>
  </si>
  <si>
    <t xml:space="preserve">Assumption</t>
  </si>
  <si>
    <t xml:space="preserve">Assumption: Default size 1 MB</t>
  </si>
  <si>
    <t xml:space="preserve">Reports downloaded in PDF per user</t>
  </si>
  <si>
    <t xml:space="preserve">Assumption: 1 report per user per hour</t>
  </si>
  <si>
    <t xml:space="preserve">Size of PDF</t>
  </si>
  <si>
    <t xml:space="preserve">1 MB</t>
  </si>
  <si>
    <t xml:space="preserve">Number of Emails captured for Lead/Case creation</t>
  </si>
  <si>
    <t xml:space="preserve">Assumption: 5% of total Lead &amp; Case captured through Email syndication</t>
  </si>
  <si>
    <t xml:space="preserve">Number of escalations</t>
  </si>
  <si>
    <t xml:space="preserve">Assumption: 10% records escalation on Lead+Case+Accounts)</t>
  </si>
  <si>
    <t xml:space="preserve">Number of Alerts</t>
  </si>
  <si>
    <t xml:space="preserve">Assumption: 10% records alerts on Lead+Case+Accounts)</t>
  </si>
  <si>
    <t xml:space="preserve">Number of Email/SMS</t>
  </si>
  <si>
    <t xml:space="preserve">Assumption: 1 Email/SMS per Lead+Case</t>
  </si>
  <si>
    <t xml:space="preserve">Rest API hits per day</t>
  </si>
  <si>
    <t xml:space="preserve">Assumption: Default assumption</t>
  </si>
  <si>
    <t xml:space="preserve">Platform MS hits per day</t>
  </si>
  <si>
    <t xml:space="preserve">Assumption: 1 hit for every Syndication, Escalation, Comm hit </t>
  </si>
  <si>
    <t xml:space="preserve">Num of SLAs hit per day</t>
  </si>
  <si>
    <t xml:space="preserve">Assumption: 1% of Lead+Case+Customer</t>
  </si>
  <si>
    <t xml:space="preserve">Number of Contact per customer</t>
  </si>
  <si>
    <t xml:space="preserve">Average number of history records per object: Customer/Leads/Service Requests</t>
  </si>
  <si>
    <t xml:space="preserve">Inputs</t>
  </si>
  <si>
    <t xml:space="preserve">Comments, if any</t>
  </si>
  <si>
    <t xml:space="preserve">Number of years for the required hardware sizing</t>
  </si>
  <si>
    <t xml:space="preserve">5 Years</t>
  </si>
  <si>
    <t xml:space="preserve">Type of Deployment</t>
  </si>
  <si>
    <t xml:space="preserve">SaaS</t>
  </si>
  <si>
    <t xml:space="preserve">Infrastructure hosting platform</t>
  </si>
  <si>
    <t xml:space="preserve">Cloud</t>
  </si>
  <si>
    <t xml:space="preserve">Choose preferred platform</t>
  </si>
  <si>
    <t xml:space="preserve">AWS</t>
  </si>
  <si>
    <t xml:space="preserve">CRMnext Database</t>
  </si>
  <si>
    <t xml:space="preserve">Postgres</t>
  </si>
  <si>
    <t xml:space="preserve">Is Reporting DB required?</t>
  </si>
  <si>
    <t xml:space="preserve">Yes</t>
  </si>
  <si>
    <t xml:space="preserve">Environments to be considered for Sizing</t>
  </si>
  <si>
    <t xml:space="preserve">Required</t>
  </si>
  <si>
    <t xml:space="preserve">Size equivalent to Prod</t>
  </si>
  <si>
    <t xml:space="preserve">DC</t>
  </si>
  <si>
    <t xml:space="preserve">NA</t>
  </si>
  <si>
    <t xml:space="preserve">DR</t>
  </si>
  <si>
    <t xml:space="preserve">Pre-Prod</t>
  </si>
  <si>
    <t xml:space="preserve">UAT</t>
  </si>
  <si>
    <t xml:space="preserve">SIT</t>
  </si>
  <si>
    <t xml:space="preserve">DEV (Internal)</t>
  </si>
  <si>
    <t xml:space="preserve">No</t>
  </si>
  <si>
    <t xml:space="preserve">Others, if any</t>
  </si>
  <si>
    <t xml:space="preserve">Assumptions for sizing  </t>
  </si>
  <si>
    <t xml:space="preserve">Total no. of customers</t>
  </si>
  <si>
    <t xml:space="preserve">Number of Cases</t>
  </si>
  <si>
    <t xml:space="preserve">Number of Activities (meetings/ calls/ emails) per Case</t>
  </si>
  <si>
    <t xml:space="preserve">Number of Offers per Customer</t>
  </si>
  <si>
    <t xml:space="preserve">Number of documents per Case</t>
  </si>
  <si>
    <t xml:space="preserve">Size of document</t>
  </si>
  <si>
    <t xml:space="preserve">Reports downloaded in PDF per hour</t>
  </si>
  <si>
    <t xml:space="preserve">Number of Email/SMS sent</t>
  </si>
  <si>
    <t xml:space="preserve">Rest API hits per hour</t>
  </si>
  <si>
    <t xml:space="preserve">Platform MS hits per hour</t>
  </si>
  <si>
    <t xml:space="preserve">Num of SLAs hit per hour</t>
  </si>
  <si>
    <t xml:space="preserve">Resources as per Load Testing</t>
  </si>
  <si>
    <t xml:space="preserve">Resources calculation as per per hour volumes</t>
  </si>
  <si>
    <t xml:space="preserve">Service</t>
  </si>
  <si>
    <t xml:space="preserve">Parameter</t>
  </si>
  <si>
    <t xml:space="preserve">Value</t>
  </si>
  <si>
    <t xml:space="preserve">vCPU</t>
  </si>
  <si>
    <t xml:space="preserve">Memory (GB)</t>
  </si>
  <si>
    <t xml:space="preserve">Remarks</t>
  </si>
  <si>
    <t xml:space="preserve">businessnext-app</t>
  </si>
  <si>
    <t xml:space="preserve">businessnext-mobile</t>
  </si>
  <si>
    <t xml:space="preserve">Actual mobile concurrency or 30% of app concurrency</t>
  </si>
  <si>
    <t xml:space="preserve">API mobile case</t>
  </si>
  <si>
    <t xml:space="preserve">RestAPI</t>
  </si>
  <si>
    <t xml:space="preserve">Image processing</t>
  </si>
  <si>
    <t xml:space="preserve">1 img per second</t>
  </si>
  <si>
    <t xml:space="preserve">PDF processing</t>
  </si>
  <si>
    <t xml:space="preserve">Doc processing</t>
  </si>
  <si>
    <t xml:space="preserve">1 Doc per second</t>
  </si>
  <si>
    <t xml:space="preserve">SLA ms</t>
  </si>
  <si>
    <t xml:space="preserve">Script-utility</t>
  </si>
  <si>
    <t xml:space="preserve">One time activity</t>
  </si>
  <si>
    <t xml:space="preserve">Fscalation ms</t>
  </si>
  <si>
    <t xml:space="preserve">Communication MS</t>
  </si>
  <si>
    <t xml:space="preserve">Number of Fmail/SMS sent</t>
  </si>
  <si>
    <t xml:space="preserve">Fscalation SDK</t>
  </si>
  <si>
    <t xml:space="preserve">Platform MS</t>
  </si>
  <si>
    <t xml:space="preserve">Fmail Syndication SDK</t>
  </si>
  <si>
    <t xml:space="preserve">Number of Fmails captured for Lead/Case creation</t>
  </si>
  <si>
    <t xml:space="preserve">Syndication Poller</t>
  </si>
  <si>
    <t xml:space="preserve">Syndication Capture</t>
  </si>
  <si>
    <t xml:space="preserve">Syndication Capture Worker</t>
  </si>
  <si>
    <t xml:space="preserve">Integration</t>
  </si>
  <si>
    <t xml:space="preserve">Static values as calculation not available</t>
  </si>
  <si>
    <t xml:space="preserve">XSLT Fusion</t>
  </si>
  <si>
    <t xml:space="preserve">Dynamic logging</t>
  </si>
  <si>
    <t xml:space="preserve">Total</t>
  </si>
  <si>
    <t xml:space="preserve">Volumes</t>
  </si>
  <si>
    <t xml:space="preserve">Years</t>
  </si>
  <si>
    <t xml:space="preserve">Total vCPU</t>
  </si>
  <si>
    <t xml:space="preserve">Total Memory(GB)</t>
  </si>
  <si>
    <t xml:space="preserve"> Attachments per object</t>
  </si>
  <si>
    <t xml:space="preserve">System Object</t>
  </si>
  <si>
    <t xml:space="preserve">Business 
Or 
Similar Object</t>
  </si>
  <si>
    <t xml:space="preserve">Size per record</t>
  </si>
  <si>
    <t xml:space="preserve">Has Flow Data</t>
  </si>
  <si>
    <t xml:space="preserve">Count</t>
  </si>
  <si>
    <t xml:space="preserve">Total Size</t>
  </si>
  <si>
    <t xml:space="preserve">Total Row Size</t>
  </si>
  <si>
    <t xml:space="preserve">Account</t>
  </si>
  <si>
    <t xml:space="preserve">KB</t>
  </si>
  <si>
    <t xml:space="preserve">Single Record</t>
  </si>
  <si>
    <t xml:space="preserve">Lead</t>
  </si>
  <si>
    <t xml:space="preserve">History Records</t>
  </si>
  <si>
    <t xml:space="preserve">Case</t>
  </si>
  <si>
    <t xml:space="preserve">Service Request (Case)</t>
  </si>
  <si>
    <t xml:space="preserve">Contract</t>
  </si>
  <si>
    <t xml:space="preserve">Campaign</t>
  </si>
  <si>
    <t xml:space="preserve">Extended Fields</t>
  </si>
  <si>
    <t xml:space="preserve">Offer</t>
  </si>
  <si>
    <t xml:space="preserve">Image Fields</t>
  </si>
  <si>
    <t xml:space="preserve">Opportunity</t>
  </si>
  <si>
    <t xml:space="preserve">Credit</t>
  </si>
  <si>
    <t xml:space="preserve">Profile Images</t>
  </si>
  <si>
    <t xml:space="preserve">Holding</t>
  </si>
  <si>
    <t xml:space="preserve">Activity</t>
  </si>
  <si>
    <t xml:space="preserve">Contact</t>
  </si>
  <si>
    <t xml:space="preserve">Renewal/Payment</t>
  </si>
  <si>
    <t xml:space="preserve">Facility</t>
  </si>
  <si>
    <t xml:space="preserve">With Flow Data</t>
  </si>
  <si>
    <t xml:space="preserve">Attachment DB Record</t>
  </si>
  <si>
    <t xml:space="preserve">N/A</t>
  </si>
  <si>
    <t xml:space="preserve">Size in KB</t>
  </si>
  <si>
    <t xml:space="preserve">History</t>
  </si>
  <si>
    <t xml:space="preserve">As parent</t>
  </si>
  <si>
    <t xml:space="preserve">Branches</t>
  </si>
  <si>
    <t xml:space="preserve">Extended Fields Avg Size</t>
  </si>
  <si>
    <t xml:space="preserve">Avg Size of Single Extended Field</t>
  </si>
  <si>
    <t xml:space="preserve">Flow Data</t>
  </si>
  <si>
    <t xml:space="preserve">Multiple of estimated object size</t>
  </si>
  <si>
    <t xml:space="preserve">times</t>
  </si>
  <si>
    <t xml:space="preserve">Set Parameters</t>
  </si>
  <si>
    <t xml:space="preserve">SMS Log</t>
  </si>
  <si>
    <t xml:space="preserve">Email Log</t>
  </si>
  <si>
    <t xml:space="preserve">Attachment/File Size</t>
  </si>
  <si>
    <t xml:space="preserve">Profile Image Field</t>
  </si>
  <si>
    <t xml:space="preserve">Image Field</t>
  </si>
  <si>
    <t xml:space="preserve">Size In KB</t>
  </si>
  <si>
    <t xml:space="preserve">Temp DB</t>
  </si>
  <si>
    <t xml:space="preserve">Of Object Storage</t>
  </si>
  <si>
    <t xml:space="preserve">Transaciton Log:</t>
  </si>
  <si>
    <t xml:space="preserve">Integration Area</t>
  </si>
  <si>
    <t xml:space="preserve">Primary FG/TS</t>
  </si>
  <si>
    <t xml:space="preserve">History Record</t>
  </si>
  <si>
    <t xml:space="preserve">Temp DB log</t>
  </si>
  <si>
    <t xml:space="preserve">Of Temp DB</t>
  </si>
  <si>
    <t xml:space="preserve">CRMNEXT Logs</t>
  </si>
  <si>
    <t xml:space="preserve">CRMNEXT Logs: Schema Log, API Logs etc. should be purged quartely basis or earlier as it may impact the storage sizing heavily</t>
  </si>
  <si>
    <t xml:space="preserve">1st Year</t>
  </si>
  <si>
    <t xml:space="preserve">2nd Year</t>
  </si>
  <si>
    <t xml:space="preserve">3rd Year</t>
  </si>
  <si>
    <t xml:space="preserve">4th Year</t>
  </si>
  <si>
    <t xml:space="preserve">5th Year</t>
  </si>
  <si>
    <t xml:space="preserve">Object Storage</t>
  </si>
  <si>
    <t xml:space="preserve">Total Count</t>
  </si>
  <si>
    <t xml:space="preserve">Size</t>
  </si>
  <si>
    <t xml:space="preserve">Attachment Table</t>
  </si>
  <si>
    <t xml:space="preserve">Total Object Storage</t>
  </si>
  <si>
    <t xml:space="preserve">Size 
in GB</t>
  </si>
  <si>
    <t xml:space="preserve">Final Database Size (GB)</t>
  </si>
  <si>
    <t xml:space="preserve">Primary Filegroup /Tablespace</t>
  </si>
  <si>
    <t xml:space="preserve">Temp DB Log</t>
  </si>
  <si>
    <t xml:space="preserve">CRMNEXT Log</t>
  </si>
  <si>
    <t xml:space="preserve">Total: 1st  year</t>
  </si>
  <si>
    <t xml:space="preserve">Total: 2nd  year</t>
  </si>
  <si>
    <t xml:space="preserve">Total: 3rd  year</t>
  </si>
  <si>
    <t xml:space="preserve">Total: 4th  year</t>
  </si>
  <si>
    <t xml:space="preserve">Total: 5th  year</t>
  </si>
  <si>
    <t xml:space="preserve">Usable Space</t>
  </si>
  <si>
    <t xml:space="preserve">GB</t>
  </si>
  <si>
    <t xml:space="preserve">                 </t>
  </si>
  <si>
    <t xml:space="preserve">File Disk Storage</t>
  </si>
  <si>
    <t xml:space="preserve">File Count</t>
  </si>
  <si>
    <t xml:space="preserve">Object Storage </t>
  </si>
  <si>
    <t xml:space="preserve">Total File Storage</t>
  </si>
  <si>
    <t xml:space="preserve">Disk File Storage (GB)</t>
  </si>
  <si>
    <t xml:space="preserve">Temp File Storage</t>
  </si>
  <si>
    <t xml:space="preserve">Total: 2nd year</t>
  </si>
  <si>
    <t xml:space="preserve">Select Values here</t>
  </si>
  <si>
    <t xml:space="preserve">CSP</t>
  </si>
  <si>
    <t xml:space="preserve">Region</t>
  </si>
  <si>
    <t xml:space="preserve">No of AZs</t>
  </si>
  <si>
    <t xml:space="preserve">Year</t>
  </si>
  <si>
    <t xml:space="preserve">Database</t>
  </si>
  <si>
    <t xml:space="preserve">Database Option</t>
  </si>
  <si>
    <t xml:space="preserve">DB License type</t>
  </si>
  <si>
    <t xml:space="preserve">Reporting DB required</t>
  </si>
  <si>
    <t xml:space="preserve">Grafana-Prometheus &amp; EFK reuired(Optional)</t>
  </si>
  <si>
    <t xml:space="preserve">GCP</t>
  </si>
  <si>
    <t xml:space="preserve">Mumbai</t>
  </si>
  <si>
    <t xml:space="preserve">Oracle Database</t>
  </si>
  <si>
    <t xml:space="preserve">Cloud Managed Database</t>
  </si>
  <si>
    <t xml:space="preserve">Cloud managed</t>
  </si>
  <si>
    <t xml:space="preserve">Data Table</t>
  </si>
  <si>
    <t xml:space="preserve">DO NOT TOUCH!!!</t>
  </si>
  <si>
    <t xml:space="preserve">Worker Nodes Linux/RHEL - CRMnext</t>
  </si>
  <si>
    <t xml:space="preserve">CRMnext Database Server vCPU</t>
  </si>
  <si>
    <t xml:space="preserve">Persistance DB Storage </t>
  </si>
  <si>
    <t xml:space="preserve">File Storage</t>
  </si>
  <si>
    <t xml:space="preserve">DB vCPU</t>
  </si>
  <si>
    <t xml:space="preserve">DB vCPU - Adjusted</t>
  </si>
  <si>
    <t xml:space="preserve">Get Value</t>
  </si>
  <si>
    <t xml:space="preserve">Cloud Managed K8s</t>
  </si>
  <si>
    <t xml:space="preserve">CRMnext Database Server vCPU - Adjusted</t>
  </si>
  <si>
    <t xml:space="preserve">Database Servers</t>
  </si>
  <si>
    <t xml:space="preserve">DB servers helper</t>
  </si>
  <si>
    <t xml:space="preserve">Server</t>
  </si>
  <si>
    <t xml:space="preserve">License</t>
  </si>
  <si>
    <t xml:space="preserve">MS SQL Database</t>
  </si>
  <si>
    <t xml:space="preserve">DB on Nodes</t>
  </si>
  <si>
    <t xml:space="preserve">Windows Nodes</t>
  </si>
  <si>
    <t xml:space="preserve">SQL License</t>
  </si>
  <si>
    <t xml:space="preserve">Cloud Managed DB service</t>
  </si>
  <si>
    <t xml:space="preserve">Linux/RHEL Nodes</t>
  </si>
  <si>
    <t xml:space="preserve">Oracle License</t>
  </si>
  <si>
    <t xml:space="preserve">Persistance DB Storage IOPS</t>
  </si>
  <si>
    <t xml:space="preserve">Redis</t>
  </si>
  <si>
    <t xml:space="preserve">Grafana-Prometheus &amp; EFK Nodes</t>
  </si>
  <si>
    <t xml:space="preserve">Reporting DB Nodes</t>
  </si>
  <si>
    <t xml:space="preserve">Cloud DB service helper</t>
  </si>
  <si>
    <t xml:space="preserve">Cloud DB service</t>
  </si>
  <si>
    <t xml:space="preserve">Image Registry</t>
  </si>
  <si>
    <t xml:space="preserve">Memory Optimized</t>
  </si>
  <si>
    <t xml:space="preserve">NAT Gateway</t>
  </si>
  <si>
    <t xml:space="preserve">RDS</t>
  </si>
  <si>
    <t xml:space="preserve">Cloud SQL</t>
  </si>
  <si>
    <t xml:space="preserve">Bare Metal Solution for Oracle</t>
  </si>
  <si>
    <t xml:space="preserve">Azure</t>
  </si>
  <si>
    <t xml:space="preserve">Azure Database</t>
  </si>
  <si>
    <t xml:space="preserve">Nodes</t>
  </si>
  <si>
    <t xml:space="preserve">K8s</t>
  </si>
  <si>
    <t xml:space="preserve">Disk Storage</t>
  </si>
  <si>
    <t xml:space="preserve">NAT GW</t>
  </si>
  <si>
    <t xml:space="preserve">EKS</t>
  </si>
  <si>
    <t xml:space="preserve">S3</t>
  </si>
  <si>
    <t xml:space="preserve">Elasticache</t>
  </si>
  <si>
    <t xml:space="preserve">ECR</t>
  </si>
  <si>
    <t xml:space="preserve">GKE</t>
  </si>
  <si>
    <t xml:space="preserve">Cloud Storage</t>
  </si>
  <si>
    <t xml:space="preserve">MemoryStore</t>
  </si>
  <si>
    <t xml:space="preserve">Artifact Registry</t>
  </si>
  <si>
    <t xml:space="preserve">Cloud NAT</t>
  </si>
  <si>
    <t xml:space="preserve">AKS</t>
  </si>
  <si>
    <t xml:space="preserve">Blob Storage</t>
  </si>
  <si>
    <t xml:space="preserve">Azure Cache</t>
  </si>
  <si>
    <t xml:space="preserve">Container Registry</t>
  </si>
  <si>
    <t xml:space="preserve">Azure Virtual Network NAT</t>
  </si>
  <si>
    <t xml:space="preserve">Environment</t>
  </si>
  <si>
    <t xml:space="preserve">PROD</t>
  </si>
  <si>
    <t xml:space="preserve">Services/Instances</t>
  </si>
  <si>
    <t xml:space="preserve">Type</t>
  </si>
  <si>
    <t xml:space="preserve">Pricing Model</t>
  </si>
  <si>
    <t xml:space="preserve">Per Node
vCPU</t>
  </si>
  <si>
    <t xml:space="preserve">Per Node 
RAM (GB)</t>
  </si>
  <si>
    <t xml:space="preserve">Per Node 
Storage (GB)</t>
  </si>
  <si>
    <t xml:space="preserve">Total 
vCPU</t>
  </si>
  <si>
    <t xml:space="preserve">Total 
RAM 
(GB)</t>
  </si>
  <si>
    <t xml:space="preserve">Total 
Storage
(TB)</t>
  </si>
  <si>
    <t xml:space="preserve">Kubernetes Cluster</t>
  </si>
  <si>
    <t xml:space="preserve">Compute Intensive</t>
  </si>
  <si>
    <t xml:space="preserve">Reserved</t>
  </si>
  <si>
    <t xml:space="preserve">Worker Nodes Linux/RHEL - Graphana &amp; Prometheus</t>
  </si>
  <si>
    <t xml:space="preserve"> </t>
  </si>
  <si>
    <t xml:space="preserve">Worker Nodes Linux/RHEL - EFK Stack </t>
  </si>
  <si>
    <t xml:space="preserve">Persistance DB Storage</t>
  </si>
  <si>
    <t xml:space="preserve">DMS</t>
  </si>
  <si>
    <t xml:space="preserve">On-Demand</t>
  </si>
  <si>
    <t xml:space="preserve">Caching &amp; Session</t>
  </si>
  <si>
    <t xml:space="preserve">Infrastructure &amp; Monitoring</t>
  </si>
  <si>
    <t xml:space="preserve">Bastion Host</t>
  </si>
  <si>
    <t xml:space="preserve">General Purpose</t>
  </si>
  <si>
    <t xml:space="preserve">Elastic IPs</t>
  </si>
  <si>
    <t xml:space="preserve">Load Balancer</t>
  </si>
  <si>
    <t xml:space="preserve">Internet Gateway</t>
  </si>
  <si>
    <t xml:space="preserve">Back Up - DB &amp; Infra Logs</t>
  </si>
  <si>
    <t xml:space="preserve">As per customer's policy</t>
  </si>
  <si>
    <t xml:space="preserve">Transit Gateway</t>
  </si>
  <si>
    <t xml:space="preserve">Monitoring</t>
  </si>
  <si>
    <t xml:space="preserve">Web Application Firewall (WAF)</t>
  </si>
  <si>
    <t xml:space="preserve">Security Hub</t>
  </si>
  <si>
    <t xml:space="preserve">Guardduty</t>
  </si>
  <si>
    <t xml:space="preserve">Inspector</t>
  </si>
  <si>
    <t xml:space="preserve">AWS config</t>
  </si>
  <si>
    <t xml:space="preserve">CloudTrail</t>
  </si>
  <si>
    <t xml:space="preserve">Storage Gateway</t>
  </si>
  <si>
    <t xml:space="preserve">AWS Key Management Service</t>
  </si>
  <si>
    <t xml:space="preserve">Email Service</t>
  </si>
  <si>
    <t xml:space="preserve">500K mails/month</t>
  </si>
  <si>
    <t xml:space="preserve">VPN Gateway/Direct Connect/Data Transfer</t>
  </si>
  <si>
    <t xml:space="preserve">DT Inbound: Internet (15 TB per month), DT Outbound: Internet (15 TB per month), DT Intra-Region: (10 TB per month), Data transfer out (15 TB) towads Bank DC</t>
  </si>
  <si>
    <t xml:space="preserve">BUSINESSNEXT SERVER ESTIMATES</t>
  </si>
  <si>
    <t xml:space="preserve">Considerations</t>
  </si>
  <si>
    <t xml:space="preserve">Artifacts</t>
  </si>
  <si>
    <t xml:space="preserve">1 Year </t>
  </si>
  <si>
    <t xml:space="preserve">2 Year </t>
  </si>
  <si>
    <t xml:space="preserve">3 Year</t>
  </si>
  <si>
    <t xml:space="preserve">4 Year</t>
  </si>
  <si>
    <t xml:space="preserve">5 Year</t>
  </si>
  <si>
    <t xml:space="preserve">Concurrency</t>
  </si>
  <si>
    <t xml:space="preserve">BUSINESSNEXT Worker Nodes</t>
  </si>
  <si>
    <t xml:space="preserve">Total vCPUs Required</t>
  </si>
  <si>
    <t xml:space="preserve">Total Memory Required (GB)</t>
  </si>
  <si>
    <t xml:space="preserve">vCPU Fraction (/16)</t>
  </si>
  <si>
    <t xml:space="preserve">Memory Fraction (/32)</t>
  </si>
  <si>
    <t xml:space="preserve">BUSINESSNEXT DB Server</t>
  </si>
  <si>
    <t xml:space="preserve">Concurrent Users per DB core</t>
  </si>
  <si>
    <t xml:space="preserve">Cores Required for DB Server</t>
  </si>
  <si>
    <t xml:space="preserve">Additional Phy. Cores Required for Integration Service</t>
  </si>
  <si>
    <t xml:space="preserve">If multiple integration jobs need to be considered then please refer additional cores according to requirement. 
By Default 8 additional cores are taken for DB Server.</t>
  </si>
  <si>
    <t xml:space="preserve">Additional Phy. Cores Required for WebAPI</t>
  </si>
  <si>
    <t xml:space="preserve">If BUSINESSNEXT WEB API will be used heavily then please refer additional cores according to requirement. 
By Default 2 additional cores are taken for DB Server.</t>
  </si>
  <si>
    <t xml:space="preserve">Total Phy. Cores Required (C23+C24+C25)</t>
  </si>
  <si>
    <t xml:space="preserve">Total Worker Nodes(8 Phy. Cores/16vCPU Each)</t>
  </si>
  <si>
    <t xml:space="preserve">70% server usage is considered.</t>
  </si>
  <si>
    <t xml:space="preserve">Total cores Required</t>
  </si>
  <si>
    <t xml:space="preserve">1:2 ratio is considerd for Physical Cores and vCPUs.</t>
  </si>
  <si>
    <t xml:space="preserve">Total RAM (GB) Required for SQL server</t>
  </si>
  <si>
    <t xml:space="preserve">RAM is considerd as 8 multiples of vCPUs on basis of Load Test.</t>
  </si>
  <si>
    <t xml:space="preserve">Total RAM (GB) Required for Oracle DB</t>
  </si>
  <si>
    <t xml:space="preserve">Total RAM (GB) Required for Postgres DB</t>
  </si>
  <si>
    <t xml:space="preserve">RAM is considerd as 4 multiples of vCPUs on basis of Load Test.</t>
  </si>
  <si>
    <t xml:space="preserve">BUSINESSNEXT Reporting Database Server - required</t>
  </si>
  <si>
    <t xml:space="preserve">If Yes, it copies the same values from DB server.
If No, values are saved as 0.</t>
  </si>
  <si>
    <t xml:space="preserve">Total RAM (GB) Required for SQL server (vCPU x 8)</t>
  </si>
  <si>
    <t xml:space="preserve">Total RAM (GB) Required for Oracle DB (vCPU x 8)</t>
  </si>
  <si>
    <t xml:space="preserve">Total RAM (GB) Required for Postgres DB (vCPU x 4)</t>
  </si>
  <si>
    <t xml:space="preserve">Data size (GB)</t>
  </si>
  <si>
    <t xml:space="preserve">Round up to 100 GB volume is considered.</t>
  </si>
  <si>
    <t xml:space="preserve">DMS size (GB)</t>
  </si>
  <si>
    <t xml:space="preserve">Bandwidth Calculation - Shared Connection</t>
  </si>
  <si>
    <t xml:space="preserve">Page</t>
  </si>
  <si>
    <t xml:space="preserve">Response Time</t>
  </si>
  <si>
    <t xml:space="preserve">sec</t>
  </si>
  <si>
    <t xml:space="preserve">Think Time</t>
  </si>
  <si>
    <t xml:space="preserve">Total Time for Download/Upload</t>
  </si>
  <si>
    <t xml:space="preserve">Static Cacheable Content</t>
  </si>
  <si>
    <t xml:space="preserve">Cache Hit Ratio</t>
  </si>
  <si>
    <t xml:space="preserve">Static Content Download</t>
  </si>
  <si>
    <t xml:space="preserve">Total Download/Upload</t>
  </si>
  <si>
    <t xml:space="preserve">Total Bandwidth Required</t>
  </si>
  <si>
    <t xml:space="preserve">kbps</t>
  </si>
  <si>
    <t xml:space="preserve">Document</t>
  </si>
  <si>
    <t xml:space="preserve">mbps</t>
  </si>
  <si>
    <t xml:space="preserve">gbps</t>
  </si>
  <si>
    <t xml:space="preserve">S.N.</t>
  </si>
  <si>
    <t xml:space="preserve">Volume and Concurrency</t>
  </si>
  <si>
    <t xml:space="preserve">Assumed data volumes and concurrency are specified for the end of 1st, 3rd, 5th Year</t>
  </si>
  <si>
    <t xml:space="preserve">25% purging every 6 month is considered for purging objects every year</t>
  </si>
  <si>
    <t xml:space="preserve">Total concurrency is including mobile usage also if applicable</t>
  </si>
  <si>
    <t xml:space="preserve">Reporting Server</t>
  </si>
  <si>
    <t xml:space="preserve">Being a transactional system, reports are supported with limited data range in production server. For large computational and high data range reports, separate reporting server is considered. Heavy Reports are recommended to be fetched from reporting server DB which should be sync in DC DB.</t>
  </si>
  <si>
    <t xml:space="preserve">Alternatively, DR Server can be used as Reporting Server in Read Only Mode, However it is customer decision to keep reporting server and DR same or as separate setup.</t>
  </si>
  <si>
    <t xml:space="preserve">Heavy Reports should be run at off peak hours for best performance</t>
  </si>
  <si>
    <t xml:space="preserve">Pre-Production</t>
  </si>
  <si>
    <t xml:space="preserve">If delivery is in multiple phases then pre-prod environment will be required which would be exactly replica of production environment with reduced sizing. However, for single phase delivery it can be considered as optional requirement.</t>
  </si>
  <si>
    <t xml:space="preserve">Alternatively, Performance Testing Environment may be utilized as Pre-Prod, once testing would be completed.</t>
  </si>
  <si>
    <t xml:space="preserve">Performance Testing</t>
  </si>
  <si>
    <t xml:space="preserve">To simulate production equivalent load, production like configuration has been suggested for performance testing server. It is recommended to simulate load test and check application performance every year.</t>
  </si>
  <si>
    <t xml:space="preserve">Default DMS storage is considered for keeping the uploaded documents which would eventually be synchronized with Customer's Enterprise DMS.</t>
  </si>
  <si>
    <t xml:space="preserve">High Availability (HA)</t>
  </si>
  <si>
    <t xml:space="preserve">For Oracle Database HA configuration, any option out of Active-Active or Active-Passive can be considered. However, for Active-Active HA, Oracle RAC need to be configured. </t>
  </si>
  <si>
    <t xml:space="preserve">For SQL Server Database HA Configuration only Active-Passive can be considered using AlwaysON feature of SQL Server Enterprise Version. </t>
  </si>
  <si>
    <t xml:space="preserve">Miscellaneous</t>
  </si>
  <si>
    <t xml:space="preserve">If data volume, user concurrency changes then the proposed sizing need to be revisited. Provided sizing is only for approximation and may vary according to volume and deployment options</t>
  </si>
  <si>
    <t xml:space="preserve">This storage is only for CRMNEXT data only. Database Backup size is out of sizing scope. Infra procurement vendor will consider these parameters separately while procuring database based on customer's rentention policy.</t>
  </si>
  <si>
    <t xml:space="preserve">CRMNEXT application will be requiring dedicated servers</t>
  </si>
  <si>
    <t xml:space="preserve">Cores need to be considered as Physical cores. In Virtual Set up, equivalent physical cores should be allocated for all environments (Production/UAT/SIT) with all servers(e.g. DB Server and App Server).</t>
  </si>
  <si>
    <t xml:space="preserve">Infra procurement vendor will give exact inside of HLB capacity and configuration</t>
  </si>
  <si>
    <t xml:space="preserve">Integration jobs where (e.g. inserts/updates/delete) have large volumes should be scheduled at off peak hours for best performance</t>
  </si>
  <si>
    <t xml:space="preserve">Web Servers are considered if application hosted at DMZ with high availability</t>
  </si>
  <si>
    <t xml:space="preserve">Customer need to procure the DR System exactly similar to Production environment. Alternatively DR system can be prepared as when required. Having said all the backup for all the volumes and system instances should be inline with production according to customer's RPO &amp; RTO.</t>
  </si>
  <si>
    <t xml:space="preserve">For HA, AWS RDS Service is considered for 99.9% availability</t>
  </si>
  <si>
    <t xml:space="preserve">Assumed data volumes and concurrency are specified on monthly basis</t>
  </si>
  <si>
    <t xml:space="preserve">In case of near real time reports Enterprise Edition will be required else Day-1 data can be fetched with Database Standard Edition.</t>
  </si>
  <si>
    <t xml:space="preserve">If delivery is in multiple phases then pre-prod environment will be available on demand which will have hourly based additional cost to customer. Also this environment will be limited to 5-10 concurrent users.</t>
  </si>
  <si>
    <t xml:space="preserve">CRMNEXT understand the crticality of business continuity in best economical way. So DR system is prepared as when required. Having said all the backup for all the volumes and system instances are inline in production daily/4 hourly schedule activity. By default RTO is of 6 hours with 4 hours of RPO. If there is any requirement of less RTO &amp; RPO then infra cost will be additional. </t>
  </si>
  <si>
    <t xml:space="preserve">To simulate production equivalent load, production like configuration has been suggested for performance testing server. It is recommended to simulate load test and check application performance every year. This environment will be available in additional cost to customer.</t>
  </si>
  <si>
    <t xml:space="preserve">This environment is valid for 20-30 concurrent users.</t>
  </si>
  <si>
    <t xml:space="preserve">This environment is valid for 20-30 concurrent users and available in additional cost to customer.</t>
  </si>
  <si>
    <t xml:space="preserve">TRAINING</t>
  </si>
  <si>
    <t xml:space="preserve">2GB per user DMS space is included in license. If there is any additional reuirement of DMS storage then it will be in additional cost to customer.</t>
  </si>
  <si>
    <t xml:space="preserve">AWS ROUTE 53 Service</t>
  </si>
  <si>
    <t xml:space="preserve"> If DNS is not managed by customer then this service will be required and will have additional cost.</t>
  </si>
  <si>
    <t xml:space="preserve">AWS VPN Connections</t>
  </si>
  <si>
    <t xml:space="preserve">Default 5 VPN Connections are considered, if more VPN Connection are required then it will be at addiational cost. This service is required to bridge between a company's existing IT infrastructure and the AWS cloud in secure mode.</t>
  </si>
  <si>
    <t xml:space="preserve">This storage is only for CRMNEXT data only. Database Backup size is considered as backup policy of managed services. If there is any requirement of additional backup according to customer's rentention policy then it will be additional cost to customer.</t>
  </si>
  <si>
    <t xml:space="preserve">Production + Sandbox Environment cost is included into per user infra cost.</t>
  </si>
</sst>
</file>

<file path=xl/styles.xml><?xml version="1.0" encoding="utf-8"?>
<styleSheet xmlns="http://schemas.openxmlformats.org/spreadsheetml/2006/main">
  <numFmts count="14">
    <numFmt numFmtId="164" formatCode="General"/>
    <numFmt numFmtId="165" formatCode="_ * #,##0.00_ ;_ * \-#,##0.00_ ;_ * \-??_ ;_ @_ "/>
    <numFmt numFmtId="166" formatCode="0%"/>
    <numFmt numFmtId="167" formatCode="0.0"/>
    <numFmt numFmtId="168" formatCode="#,##0"/>
    <numFmt numFmtId="169" formatCode="_ * #,##0_ ;_ * \-#,##0_ ;_ * \-??_ ;_ @_ "/>
    <numFmt numFmtId="170" formatCode="0"/>
    <numFmt numFmtId="171" formatCode="0.00%"/>
    <numFmt numFmtId="172" formatCode="General"/>
    <numFmt numFmtId="173" formatCode="#,##0\ ;&quot; (&quot;#,##0\);&quot; -&quot;#\ ;@\ "/>
    <numFmt numFmtId="174" formatCode="0.00"/>
    <numFmt numFmtId="175" formatCode="0.0\K"/>
    <numFmt numFmtId="176" formatCode="0\K"/>
    <numFmt numFmtId="177" formatCode="0.0%"/>
  </numFmts>
  <fonts count="51">
    <font>
      <sz val="11"/>
      <color rgb="FF000000"/>
      <name val="Calibri"/>
      <family val="0"/>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sz val="11"/>
      <color rgb="FF000000"/>
      <name val="Calibri"/>
      <family val="2"/>
      <charset val="1"/>
    </font>
    <font>
      <sz val="11"/>
      <color theme="1"/>
      <name val="Calibri"/>
      <family val="2"/>
      <charset val="1"/>
    </font>
    <font>
      <sz val="12"/>
      <color rgb="FF000000"/>
      <name val="Aptos Narrow"/>
      <family val="2"/>
      <charset val="1"/>
    </font>
    <font>
      <b val="true"/>
      <sz val="10"/>
      <color rgb="FF000000"/>
      <name val="Calibri"/>
      <family val="2"/>
      <charset val="1"/>
    </font>
    <font>
      <sz val="10"/>
      <color rgb="FF000000"/>
      <name val="Calibri"/>
      <family val="2"/>
      <charset val="1"/>
    </font>
    <font>
      <u val="single"/>
      <sz val="10"/>
      <color theme="10"/>
      <name val="Calibri"/>
      <family val="2"/>
      <charset val="1"/>
    </font>
    <font>
      <b val="true"/>
      <sz val="14"/>
      <color rgb="FF0070C0"/>
      <name val="Calibri"/>
      <family val="2"/>
      <charset val="1"/>
    </font>
    <font>
      <b val="true"/>
      <sz val="20"/>
      <color rgb="FF0070C0"/>
      <name val="Calibri"/>
      <family val="2"/>
      <charset val="1"/>
    </font>
    <font>
      <sz val="11"/>
      <name val="Calibri"/>
      <family val="2"/>
      <charset val="1"/>
    </font>
    <font>
      <b val="true"/>
      <sz val="10"/>
      <color theme="0"/>
      <name val="Calibri"/>
      <family val="2"/>
      <charset val="1"/>
    </font>
    <font>
      <sz val="10"/>
      <color theme="1"/>
      <name val="Calibri"/>
      <family val="2"/>
      <charset val="1"/>
    </font>
    <font>
      <sz val="10"/>
      <color rgb="FF0070C0"/>
      <name val="Calibri"/>
      <family val="2"/>
      <charset val="1"/>
    </font>
    <font>
      <sz val="10"/>
      <name val="Calibri"/>
      <family val="2"/>
      <charset val="1"/>
    </font>
    <font>
      <sz val="10"/>
      <color rgb="FF0070C0"/>
      <name val="Times New Roman"/>
      <family val="1"/>
      <charset val="1"/>
    </font>
    <font>
      <b val="true"/>
      <sz val="10"/>
      <color theme="1"/>
      <name val="Calibri"/>
      <family val="2"/>
      <charset val="1"/>
    </font>
    <font>
      <b val="true"/>
      <sz val="12"/>
      <color rgb="FFFFFFFF"/>
      <name val="Calibri"/>
      <family val="2"/>
      <charset val="1"/>
    </font>
    <font>
      <b val="true"/>
      <sz val="10"/>
      <name val="Calibri"/>
      <family val="2"/>
      <charset val="1"/>
    </font>
    <font>
      <i val="true"/>
      <sz val="10"/>
      <name val="Calibri"/>
      <family val="2"/>
      <charset val="1"/>
    </font>
    <font>
      <sz val="11"/>
      <color rgb="FF0070C0"/>
      <name val="Calibri"/>
      <family val="2"/>
      <charset val="1"/>
    </font>
    <font>
      <b val="true"/>
      <sz val="16"/>
      <name val="Calibri"/>
      <family val="2"/>
      <charset val="1"/>
    </font>
    <font>
      <b val="true"/>
      <sz val="10"/>
      <color rgb="FFFFFFFF"/>
      <name val="Calibri"/>
      <family val="2"/>
      <charset val="1"/>
    </font>
    <font>
      <b val="true"/>
      <sz val="11"/>
      <color rgb="FF000000"/>
      <name val="Calibri"/>
      <family val="2"/>
      <charset val="1"/>
    </font>
    <font>
      <b val="true"/>
      <sz val="10"/>
      <color rgb="FF333399"/>
      <name val="Calibri"/>
      <family val="2"/>
      <charset val="1"/>
    </font>
    <font>
      <b val="true"/>
      <sz val="10"/>
      <color rgb="FF0070C0"/>
      <name val="Calibri"/>
      <family val="2"/>
      <charset val="1"/>
    </font>
    <font>
      <sz val="16"/>
      <name val="Calibri"/>
      <family val="2"/>
      <charset val="1"/>
    </font>
    <font>
      <b val="true"/>
      <sz val="16"/>
      <color rgb="FFFFFFFF"/>
      <name val="Calibri"/>
      <family val="2"/>
      <charset val="1"/>
    </font>
    <font>
      <sz val="10"/>
      <name val="Arial"/>
      <family val="2"/>
    </font>
    <font>
      <b val="true"/>
      <sz val="11"/>
      <color rgb="FF000118"/>
      <name val="Calibri"/>
      <family val="2"/>
      <charset val="1"/>
    </font>
    <font>
      <b val="true"/>
      <sz val="11"/>
      <color theme="0"/>
      <name val="Calibri"/>
      <family val="2"/>
      <charset val="1"/>
    </font>
    <font>
      <b val="true"/>
      <sz val="11"/>
      <color theme="1"/>
      <name val="Calibri"/>
      <family val="2"/>
      <charset val="1"/>
    </font>
    <font>
      <sz val="11"/>
      <color rgb="FF282829"/>
      <name val="Calibri"/>
      <family val="2"/>
      <charset val="1"/>
    </font>
    <font>
      <sz val="11"/>
      <color rgb="FF202124"/>
      <name val="Roboto"/>
      <family val="0"/>
      <charset val="1"/>
    </font>
    <font>
      <b val="true"/>
      <sz val="14"/>
      <color theme="1"/>
      <name val="Calibri"/>
      <family val="2"/>
      <charset val="1"/>
    </font>
    <font>
      <b val="true"/>
      <sz val="14"/>
      <color rgb="FF000000"/>
      <name val="Calibri"/>
      <family val="2"/>
      <charset val="1"/>
    </font>
    <font>
      <sz val="14"/>
      <color theme="1"/>
      <name val="Calibri"/>
      <family val="2"/>
      <charset val="1"/>
    </font>
    <font>
      <sz val="14"/>
      <color rgb="FF000000"/>
      <name val="Calibri"/>
      <family val="2"/>
      <charset val="1"/>
    </font>
    <font>
      <b val="true"/>
      <sz val="12"/>
      <color rgb="FF000000"/>
      <name val="Calibri"/>
      <family val="2"/>
      <charset val="1"/>
    </font>
    <font>
      <b val="true"/>
      <sz val="14"/>
      <color theme="0"/>
      <name val="Calibri"/>
      <family val="2"/>
      <charset val="1"/>
    </font>
    <font>
      <b val="true"/>
      <sz val="11"/>
      <name val="Calibri"/>
      <family val="2"/>
      <charset val="1"/>
    </font>
    <font>
      <sz val="8"/>
      <color rgb="FF000000"/>
      <name val="Calibri"/>
      <family val="2"/>
      <charset val="1"/>
    </font>
    <font>
      <b val="true"/>
      <sz val="12"/>
      <name val="Calibri"/>
      <family val="2"/>
      <charset val="1"/>
    </font>
    <font>
      <sz val="11"/>
      <color theme="4" tint="-0.25"/>
      <name val="Calibri"/>
      <family val="2"/>
      <charset val="1"/>
    </font>
    <font>
      <b val="true"/>
      <sz val="12"/>
      <color theme="1"/>
      <name val="Calibri"/>
      <family val="2"/>
      <charset val="1"/>
    </font>
    <font>
      <b val="true"/>
      <sz val="11"/>
      <color rgb="FF333333"/>
      <name val="Calibri"/>
      <family val="2"/>
      <charset val="1"/>
    </font>
    <font>
      <sz val="11"/>
      <color rgb="FF333333"/>
      <name val="Calibri"/>
      <family val="2"/>
      <charset val="1"/>
    </font>
  </fonts>
  <fills count="22">
    <fill>
      <patternFill patternType="none"/>
    </fill>
    <fill>
      <patternFill patternType="gray125"/>
    </fill>
    <fill>
      <patternFill patternType="solid">
        <fgColor theme="2" tint="-0.15"/>
        <bgColor rgb="FFD7E4BD"/>
      </patternFill>
    </fill>
    <fill>
      <patternFill patternType="solid">
        <fgColor theme="0"/>
        <bgColor rgb="FFDCE6F2"/>
      </patternFill>
    </fill>
    <fill>
      <patternFill patternType="solid">
        <fgColor theme="8" tint="0.3999"/>
        <bgColor rgb="FFB7DEE8"/>
      </patternFill>
    </fill>
    <fill>
      <patternFill patternType="solid">
        <fgColor theme="8" tint="0.5999"/>
        <bgColor rgb="FFD9D9D9"/>
      </patternFill>
    </fill>
    <fill>
      <patternFill patternType="solid">
        <fgColor theme="9" tint="0.3999"/>
        <bgColor rgb="FFFCD5B5"/>
      </patternFill>
    </fill>
    <fill>
      <patternFill patternType="solid">
        <fgColor theme="9" tint="0.5999"/>
        <bgColor rgb="FFFAC090"/>
      </patternFill>
    </fill>
    <fill>
      <patternFill patternType="solid">
        <fgColor rgb="FFEE2B76"/>
        <bgColor rgb="FF993366"/>
      </patternFill>
    </fill>
    <fill>
      <patternFill patternType="solid">
        <fgColor rgb="FFFFFF00"/>
        <bgColor rgb="FFFFFF00"/>
      </patternFill>
    </fill>
    <fill>
      <patternFill patternType="solid">
        <fgColor theme="8" tint="-0.25"/>
        <bgColor rgb="FF008080"/>
      </patternFill>
    </fill>
    <fill>
      <patternFill patternType="solid">
        <fgColor theme="6" tint="0.5999"/>
        <bgColor rgb="FFD9D9D9"/>
      </patternFill>
    </fill>
    <fill>
      <patternFill patternType="solid">
        <fgColor theme="4" tint="0.7999"/>
        <bgColor rgb="FFD9D9D9"/>
      </patternFill>
    </fill>
    <fill>
      <patternFill patternType="solid">
        <fgColor rgb="FF92D050"/>
        <bgColor rgb="FFC3D69B"/>
      </patternFill>
    </fill>
    <fill>
      <patternFill patternType="solid">
        <fgColor theme="6" tint="-0.25"/>
        <bgColor rgb="FF808080"/>
      </patternFill>
    </fill>
    <fill>
      <patternFill patternType="solid">
        <fgColor rgb="FF808080"/>
        <bgColor rgb="FF77933C"/>
      </patternFill>
    </fill>
    <fill>
      <patternFill patternType="solid">
        <fgColor theme="6" tint="0.3999"/>
        <bgColor rgb="FFD7E4BD"/>
      </patternFill>
    </fill>
    <fill>
      <patternFill patternType="solid">
        <fgColor rgb="FF00CCFF"/>
        <bgColor rgb="FF00B0F0"/>
      </patternFill>
    </fill>
    <fill>
      <patternFill patternType="solid">
        <fgColor rgb="FFCCFFFF"/>
        <bgColor rgb="FFDCE6F2"/>
      </patternFill>
    </fill>
    <fill>
      <patternFill patternType="solid">
        <fgColor rgb="FFFF0000"/>
        <bgColor rgb="FFEE2B76"/>
      </patternFill>
    </fill>
    <fill>
      <patternFill patternType="solid">
        <fgColor theme="9" tint="-0.25"/>
        <bgColor rgb="FFFF9900"/>
      </patternFill>
    </fill>
    <fill>
      <patternFill patternType="solid">
        <fgColor theme="0" tint="-0.35"/>
        <bgColor rgb="FFBFBFBF"/>
      </patternFill>
    </fill>
  </fills>
  <borders count="29">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medium"/>
      <right/>
      <top style="medium"/>
      <bottom style="medium"/>
      <diagonal/>
    </border>
    <border diagonalUp="false" diagonalDown="false">
      <left style="medium"/>
      <right/>
      <top/>
      <bottom/>
      <diagonal/>
    </border>
    <border diagonalUp="false" diagonalDown="false">
      <left style="medium"/>
      <right style="medium"/>
      <top/>
      <bottom/>
      <diagonal/>
    </border>
    <border diagonalUp="false" diagonalDown="false">
      <left style="medium"/>
      <right/>
      <top style="medium"/>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right/>
      <top/>
      <bottom style="medium"/>
      <diagonal/>
    </border>
    <border diagonalUp="false" diagonalDown="false">
      <left style="medium"/>
      <right style="medium"/>
      <top/>
      <bottom style="medium"/>
      <diagonal/>
    </border>
    <border diagonalUp="false" diagonalDown="false">
      <left style="double">
        <color theme="0" tint="-0.25"/>
      </left>
      <right style="double">
        <color theme="0" tint="-0.25"/>
      </right>
      <top style="double">
        <color theme="0" tint="-0.25"/>
      </top>
      <bottom style="double">
        <color theme="0" tint="-0.25"/>
      </bottom>
      <diagonal/>
    </border>
    <border diagonalUp="false" diagonalDown="false">
      <left style="double">
        <color theme="0" tint="-0.25"/>
      </left>
      <right style="double">
        <color theme="0" tint="-0.25"/>
      </right>
      <top style="double">
        <color theme="0" tint="-0.25"/>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thin"/>
      <top/>
      <bottom style="thin"/>
      <diagonal/>
    </border>
    <border diagonalUp="false" diagonalDown="false">
      <left style="medium"/>
      <right style="medium"/>
      <top style="medium"/>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style="thin"/>
      <right style="thin"/>
      <top style="thin"/>
      <bottom/>
      <diagonal/>
    </border>
    <border diagonalUp="false" diagonalDown="false">
      <left style="thin"/>
      <right/>
      <top/>
      <bottom style="thin"/>
      <diagonal/>
    </border>
    <border diagonalUp="false" diagonalDown="false">
      <left/>
      <right style="thin"/>
      <top/>
      <bottom style="thin"/>
      <diagonal/>
    </border>
  </borders>
  <cellStyleXfs count="3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cellStyleXfs>
  <cellXfs count="3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4" borderId="2" xfId="0" applyFont="true" applyBorder="true" applyAlignment="true" applyProtection="false">
      <alignment horizontal="left" vertical="center" textRotation="0" wrapText="true" indent="0" shrinkToFit="false"/>
      <protection locked="true" hidden="false"/>
    </xf>
    <xf numFmtId="164" fontId="10" fillId="5" borderId="2"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9" fillId="6" borderId="2" xfId="0" applyFont="true" applyBorder="true" applyAlignment="true" applyProtection="false">
      <alignment horizontal="center" vertical="center" textRotation="0" wrapText="false" indent="0" shrinkToFit="false"/>
      <protection locked="true" hidden="false"/>
    </xf>
    <xf numFmtId="164" fontId="9" fillId="6" borderId="3" xfId="0" applyFont="true" applyBorder="true" applyAlignment="true" applyProtection="false">
      <alignment horizontal="center" vertical="center" textRotation="0" wrapText="true" indent="0" shrinkToFit="false"/>
      <protection locked="true" hidden="false"/>
    </xf>
    <xf numFmtId="164" fontId="9" fillId="6" borderId="2" xfId="0" applyFont="true" applyBorder="true" applyAlignment="true" applyProtection="false">
      <alignment horizontal="center"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4" fontId="10" fillId="7" borderId="4"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general" vertical="bottom" textRotation="0" wrapText="true" indent="0" shrinkToFit="false"/>
      <protection locked="true" hidden="false"/>
    </xf>
    <xf numFmtId="164" fontId="10" fillId="7" borderId="5" xfId="0" applyFont="true" applyBorder="true" applyAlignment="true" applyProtection="false">
      <alignment horizontal="center" vertical="center" textRotation="0" wrapText="true" indent="0" shrinkToFit="false"/>
      <protection locked="true" hidden="false"/>
    </xf>
    <xf numFmtId="164" fontId="10" fillId="7" borderId="6" xfId="0" applyFont="true" applyBorder="true" applyAlignment="true" applyProtection="false">
      <alignment horizontal="general" vertical="bottom" textRotation="0" wrapText="true" indent="0" shrinkToFit="false"/>
      <protection locked="true" hidden="false"/>
    </xf>
    <xf numFmtId="164" fontId="10" fillId="7" borderId="7" xfId="0" applyFont="true" applyBorder="true" applyAlignment="true" applyProtection="false">
      <alignment horizontal="center" vertical="center" textRotation="0" wrapText="true" indent="0" shrinkToFit="false"/>
      <protection locked="true" hidden="false"/>
    </xf>
    <xf numFmtId="164" fontId="10" fillId="7" borderId="8" xfId="0" applyFont="tru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9" fillId="7" borderId="6" xfId="0" applyFont="true" applyBorder="true" applyAlignment="true" applyProtection="false">
      <alignment horizontal="center" vertical="center" textRotation="0" wrapText="false" indent="0" shrinkToFit="false"/>
      <protection locked="true" hidden="false"/>
    </xf>
    <xf numFmtId="164" fontId="10" fillId="7" borderId="9" xfId="0" applyFont="true" applyBorder="true" applyAlignment="true" applyProtection="false">
      <alignment horizontal="general" vertical="bottom" textRotation="0" wrapText="true" indent="0" shrinkToFit="false"/>
      <protection locked="true" hidden="false"/>
    </xf>
    <xf numFmtId="164" fontId="10" fillId="7" borderId="10" xfId="0" applyFont="true" applyBorder="true" applyAlignment="true" applyProtection="false">
      <alignment horizontal="general" vertical="bottom" textRotation="0" wrapText="true" indent="0" shrinkToFit="false"/>
      <protection locked="true" hidden="false"/>
    </xf>
    <xf numFmtId="164" fontId="10" fillId="7" borderId="0" xfId="0" applyFont="true" applyBorder="false" applyAlignment="true" applyProtection="false">
      <alignment horizontal="general" vertical="bottom" textRotation="0" wrapText="true" indent="0" shrinkToFit="false"/>
      <protection locked="true" hidden="false"/>
    </xf>
    <xf numFmtId="164" fontId="10" fillId="7" borderId="11" xfId="0" applyFont="true" applyBorder="true" applyAlignment="true" applyProtection="false">
      <alignment horizontal="general" vertical="center" textRotation="0" wrapText="true" indent="0" shrinkToFit="false"/>
      <protection locked="true" hidden="false"/>
    </xf>
    <xf numFmtId="164" fontId="10" fillId="7" borderId="12" xfId="0" applyFont="true" applyBorder="true" applyAlignment="true" applyProtection="false">
      <alignment horizontal="general" vertical="bottom" textRotation="0" wrapText="true" indent="0" shrinkToFit="false"/>
      <protection locked="true" hidden="false"/>
    </xf>
    <xf numFmtId="164" fontId="10" fillId="7" borderId="12" xfId="0" applyFont="true" applyBorder="true" applyAlignment="true" applyProtection="false">
      <alignment horizontal="general"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center" vertical="center" textRotation="0" wrapText="true" indent="0" shrinkToFit="false"/>
      <protection locked="true" hidden="false"/>
    </xf>
    <xf numFmtId="164" fontId="7" fillId="3" borderId="0" xfId="31" applyFont="true" applyBorder="false" applyAlignment="true" applyProtection="false">
      <alignment horizontal="general" vertical="bottom" textRotation="0" wrapText="false" indent="0" shrinkToFit="false"/>
      <protection locked="true" hidden="false"/>
    </xf>
    <xf numFmtId="164" fontId="7" fillId="3" borderId="0" xfId="31" applyFont="true" applyBorder="false" applyAlignment="true" applyProtection="false">
      <alignment horizontal="general" vertical="bottom" textRotation="0" wrapText="true" indent="0" shrinkToFit="false"/>
      <protection locked="true" hidden="false"/>
    </xf>
    <xf numFmtId="164" fontId="12" fillId="3" borderId="0" xfId="0" applyFont="true" applyBorder="true" applyAlignment="true" applyProtection="true">
      <alignment horizontal="center" vertical="center" textRotation="0" wrapText="false" indent="0" shrinkToFit="false"/>
      <protection locked="false" hidden="false"/>
    </xf>
    <xf numFmtId="164" fontId="13"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5" fillId="8" borderId="13" xfId="0" applyFont="true" applyBorder="true" applyAlignment="true" applyProtection="false">
      <alignment horizontal="center"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true" indent="0" shrinkToFit="false"/>
      <protection locked="true" hidden="false"/>
    </xf>
    <xf numFmtId="164" fontId="17" fillId="0" borderId="13" xfId="0" applyFont="true" applyBorder="true" applyAlignment="true" applyProtection="true">
      <alignment horizontal="general" vertical="center" textRotation="0" wrapText="true" indent="0" shrinkToFit="false"/>
      <protection locked="false" hidden="false"/>
    </xf>
    <xf numFmtId="168" fontId="17" fillId="9" borderId="13" xfId="0" applyFont="true" applyBorder="true" applyAlignment="true" applyProtection="true">
      <alignment horizontal="center" vertical="center" textRotation="0" wrapText="true" indent="0" shrinkToFit="false"/>
      <protection locked="false" hidden="false"/>
    </xf>
    <xf numFmtId="169" fontId="17" fillId="3" borderId="13" xfId="0" applyFont="true" applyBorder="true" applyAlignment="true" applyProtection="true">
      <alignment horizontal="center" vertical="center" textRotation="0" wrapText="true" indent="0" shrinkToFit="false"/>
      <protection locked="false" hidden="false"/>
    </xf>
    <xf numFmtId="166" fontId="17" fillId="0" borderId="13" xfId="0" applyFont="true" applyBorder="true" applyAlignment="true" applyProtection="true">
      <alignment horizontal="center" vertical="center" textRotation="0" wrapText="false" indent="0" shrinkToFit="false"/>
      <protection locked="false" hidden="false"/>
    </xf>
    <xf numFmtId="168" fontId="18" fillId="3" borderId="13" xfId="0" applyFont="true" applyBorder="true" applyAlignment="true" applyProtection="false">
      <alignment horizontal="center" vertical="center" textRotation="0" wrapText="true" indent="0" shrinkToFit="false"/>
      <protection locked="true" hidden="false"/>
    </xf>
    <xf numFmtId="168" fontId="18" fillId="3" borderId="13" xfId="0" applyFont="true" applyBorder="true" applyAlignment="true" applyProtection="false">
      <alignment horizontal="left" vertical="center" textRotation="0" wrapText="true" indent="0" shrinkToFit="false"/>
      <protection locked="true" hidden="false"/>
    </xf>
    <xf numFmtId="168" fontId="17" fillId="3" borderId="13" xfId="0" applyFont="true" applyBorder="true" applyAlignment="true" applyProtection="true">
      <alignment horizontal="center" vertical="center" textRotation="0" wrapText="true" indent="0" shrinkToFit="false"/>
      <protection locked="false" hidden="false"/>
    </xf>
    <xf numFmtId="164" fontId="17" fillId="3" borderId="13" xfId="0" applyFont="true" applyBorder="true" applyAlignment="true" applyProtection="true">
      <alignment horizontal="general" vertical="center" textRotation="0" wrapText="false" indent="0" shrinkToFit="false"/>
      <protection locked="false" hidden="false"/>
    </xf>
    <xf numFmtId="164" fontId="17" fillId="9" borderId="1" xfId="0" applyFont="true" applyBorder="true" applyAlignment="true" applyProtection="true">
      <alignment horizontal="center" vertical="center" textRotation="0" wrapText="false" indent="0" shrinkToFit="false"/>
      <protection locked="false" hidden="false"/>
    </xf>
    <xf numFmtId="169" fontId="17" fillId="3" borderId="13" xfId="0" applyFont="true" applyBorder="true" applyAlignment="true" applyProtection="true">
      <alignment horizontal="center" vertical="center" textRotation="0" wrapText="false" indent="0" shrinkToFit="false"/>
      <protection locked="false" hidden="false"/>
    </xf>
    <xf numFmtId="164" fontId="17" fillId="3" borderId="13" xfId="0" applyFont="true" applyBorder="true" applyAlignment="true" applyProtection="true">
      <alignment horizontal="general" vertical="bottom" textRotation="0" wrapText="false" indent="0" shrinkToFit="false"/>
      <protection locked="false" hidden="false"/>
    </xf>
    <xf numFmtId="169" fontId="17" fillId="9" borderId="13" xfId="0" applyFont="true" applyBorder="true" applyAlignment="true" applyProtection="true">
      <alignment horizontal="center" vertical="center" textRotation="0" wrapText="false" indent="0" shrinkToFit="false"/>
      <protection locked="false" hidden="false"/>
    </xf>
    <xf numFmtId="169" fontId="17" fillId="0" borderId="13" xfId="0" applyFont="true" applyBorder="true" applyAlignment="true" applyProtection="true">
      <alignment horizontal="center" vertical="center" textRotation="0" wrapText="false" indent="0" shrinkToFit="false"/>
      <protection locked="false" hidden="false"/>
    </xf>
    <xf numFmtId="170" fontId="17" fillId="9" borderId="13" xfId="0" applyFont="true" applyBorder="true" applyAlignment="true" applyProtection="true">
      <alignment horizontal="center" vertical="center" textRotation="0" wrapText="false" indent="0" shrinkToFit="false"/>
      <protection locked="false" hidden="false"/>
    </xf>
    <xf numFmtId="170" fontId="17" fillId="0" borderId="13" xfId="0" applyFont="true" applyBorder="true" applyAlignment="true" applyProtection="true">
      <alignment horizontal="center" vertical="center" textRotation="0" wrapText="false" indent="0" shrinkToFit="false"/>
      <protection locked="false" hidden="false"/>
    </xf>
    <xf numFmtId="170" fontId="18" fillId="0" borderId="13" xfId="0" applyFont="true" applyBorder="true" applyAlignment="true" applyProtection="false">
      <alignment horizontal="left" vertical="center" textRotation="0" wrapText="false" indent="0" shrinkToFit="false"/>
      <protection locked="true" hidden="false"/>
    </xf>
    <xf numFmtId="170" fontId="18" fillId="0" borderId="13" xfId="0" applyFont="true" applyBorder="true" applyAlignment="true" applyProtection="false">
      <alignment horizontal="center" vertical="center" textRotation="0" wrapText="false" indent="0" shrinkToFit="false"/>
      <protection locked="true" hidden="false"/>
    </xf>
    <xf numFmtId="170" fontId="17" fillId="0" borderId="13" xfId="0" applyFont="true" applyBorder="true" applyAlignment="true" applyProtection="false">
      <alignment horizontal="center" vertical="center" textRotation="0" wrapText="false" indent="0" shrinkToFit="false"/>
      <protection locked="true" hidden="false"/>
    </xf>
    <xf numFmtId="168" fontId="17" fillId="3" borderId="13" xfId="0" applyFont="true" applyBorder="true" applyAlignment="true" applyProtection="false">
      <alignment horizontal="left" vertical="center" textRotation="0" wrapText="true" indent="0" shrinkToFit="false"/>
      <protection locked="true" hidden="false"/>
    </xf>
    <xf numFmtId="164" fontId="16" fillId="0" borderId="14" xfId="0" applyFont="true" applyBorder="true" applyAlignment="true" applyProtection="false">
      <alignment horizontal="left" vertical="center" textRotation="0" wrapText="true" indent="0" shrinkToFit="false"/>
      <protection locked="true" hidden="false"/>
    </xf>
    <xf numFmtId="164" fontId="17" fillId="9" borderId="13" xfId="0" applyFont="true" applyBorder="true" applyAlignment="true" applyProtection="true">
      <alignment horizontal="left" vertical="center" textRotation="0" wrapText="true" indent="0" shrinkToFit="false"/>
      <protection locked="false" hidden="false"/>
    </xf>
    <xf numFmtId="164" fontId="17" fillId="0" borderId="13" xfId="0" applyFont="true" applyBorder="true" applyAlignment="true" applyProtection="true">
      <alignment horizontal="left" vertical="center" textRotation="0" wrapText="true" indent="0" shrinkToFit="false"/>
      <protection locked="false" hidden="false"/>
    </xf>
    <xf numFmtId="164" fontId="16" fillId="0" borderId="13" xfId="0" applyFont="true" applyBorder="tru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16" fillId="3" borderId="13" xfId="0" applyFont="true" applyBorder="true" applyAlignment="true" applyProtection="false">
      <alignment horizontal="left" vertical="center" textRotation="0" wrapText="true" indent="0" shrinkToFit="false"/>
      <protection locked="true" hidden="false"/>
    </xf>
    <xf numFmtId="166" fontId="17" fillId="9" borderId="13" xfId="0" applyFont="true" applyBorder="true" applyAlignment="true" applyProtection="true">
      <alignment horizontal="center" vertical="center" textRotation="0" wrapText="true" indent="0" shrinkToFit="false"/>
      <protection locked="false" hidden="false"/>
    </xf>
    <xf numFmtId="164" fontId="19" fillId="3" borderId="13" xfId="0" applyFont="true" applyBorder="true" applyAlignment="true" applyProtection="true">
      <alignment horizontal="left" vertical="center" textRotation="0" wrapText="true" indent="0" shrinkToFit="false"/>
      <protection locked="false" hidden="false"/>
    </xf>
    <xf numFmtId="164" fontId="17" fillId="3" borderId="13" xfId="0" applyFont="true" applyBorder="true" applyAlignment="true" applyProtection="true">
      <alignment horizontal="left" vertical="center" textRotation="0" wrapText="true" indent="0" shrinkToFit="false"/>
      <protection locked="fals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18" fillId="0" borderId="13" xfId="0" applyFont="true" applyBorder="true" applyAlignment="true" applyProtection="false">
      <alignment horizontal="general" vertical="center" textRotation="0" wrapText="true" indent="0" shrinkToFit="false"/>
      <protection locked="true" hidden="false"/>
    </xf>
    <xf numFmtId="171" fontId="18" fillId="3" borderId="13" xfId="0" applyFont="true" applyBorder="true" applyAlignment="true" applyProtection="false">
      <alignment horizontal="center" vertical="center" textRotation="0" wrapText="true" indent="0" shrinkToFit="false"/>
      <protection locked="true" hidden="false"/>
    </xf>
    <xf numFmtId="164" fontId="18" fillId="3" borderId="13" xfId="0" applyFont="true" applyBorder="true" applyAlignment="true" applyProtection="false">
      <alignment horizontal="general" vertical="center" textRotation="0" wrapText="false" indent="0" shrinkToFit="false"/>
      <protection locked="true" hidden="false"/>
    </xf>
    <xf numFmtId="164" fontId="18" fillId="3" borderId="13" xfId="0" applyFont="true" applyBorder="true" applyAlignment="true" applyProtection="false">
      <alignment horizontal="general" vertical="bottom" textRotation="0" wrapText="false" indent="0" shrinkToFit="false"/>
      <protection locked="true" hidden="false"/>
    </xf>
    <xf numFmtId="166" fontId="18" fillId="0" borderId="13" xfId="0" applyFont="true" applyBorder="true" applyAlignment="true" applyProtection="false">
      <alignment horizontal="center" vertical="center" textRotation="0" wrapText="false" indent="0" shrinkToFit="false"/>
      <protection locked="true" hidden="false"/>
    </xf>
    <xf numFmtId="164" fontId="18" fillId="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5" fillId="10" borderId="13" xfId="0" applyFont="true" applyBorder="true" applyAlignment="true" applyProtection="false">
      <alignment horizontal="general" vertical="center" textRotation="0" wrapText="true" indent="0" shrinkToFit="false"/>
      <protection locked="true" hidden="false"/>
    </xf>
    <xf numFmtId="164" fontId="15" fillId="1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18" fillId="0" borderId="13" xfId="0" applyFont="true" applyBorder="true" applyAlignment="true" applyProtection="false">
      <alignment horizontal="center" vertical="center" textRotation="0" wrapText="true" indent="0" shrinkToFit="false"/>
      <protection locked="true" hidden="false"/>
    </xf>
    <xf numFmtId="170" fontId="18" fillId="11" borderId="13" xfId="0" applyFont="true" applyBorder="true" applyAlignment="true" applyProtection="false">
      <alignment horizontal="center" vertical="center" textRotation="0" wrapText="true" indent="0" shrinkToFit="false"/>
      <protection locked="true" hidden="false"/>
    </xf>
    <xf numFmtId="167" fontId="18" fillId="0" borderId="13" xfId="0" applyFont="true" applyBorder="true" applyAlignment="true" applyProtection="false">
      <alignment horizontal="general" vertical="center" textRotation="0" wrapText="true" indent="0" shrinkToFit="false"/>
      <protection locked="true" hidden="false"/>
    </xf>
    <xf numFmtId="170" fontId="18" fillId="0" borderId="13" xfId="0" applyFont="true" applyBorder="true" applyAlignment="true" applyProtection="false">
      <alignment horizontal="center" vertical="center" textRotation="0" wrapText="true" indent="0" shrinkToFit="false"/>
      <protection locked="true" hidden="false"/>
    </xf>
    <xf numFmtId="170" fontId="18" fillId="0" borderId="13" xfId="0" applyFont="true" applyBorder="true" applyAlignment="true" applyProtection="false">
      <alignment horizontal="left" vertical="center" textRotation="0" wrapText="true" indent="0" shrinkToFit="false"/>
      <protection locked="true" hidden="false"/>
    </xf>
    <xf numFmtId="170" fontId="18" fillId="12" borderId="13" xfId="0" applyFont="true" applyBorder="true" applyAlignment="true" applyProtection="false">
      <alignment horizontal="center" vertical="center" textRotation="0" wrapText="true" indent="0" shrinkToFit="false"/>
      <protection locked="true" hidden="false"/>
    </xf>
    <xf numFmtId="167" fontId="18" fillId="12" borderId="13" xfId="0" applyFont="true" applyBorder="true" applyAlignment="true" applyProtection="false">
      <alignment horizontal="general" vertical="center" textRotation="0" wrapText="true" indent="0" shrinkToFit="false"/>
      <protection locked="true" hidden="false"/>
    </xf>
    <xf numFmtId="164" fontId="20" fillId="6" borderId="15" xfId="0" applyFont="true" applyBorder="true" applyAlignment="true" applyProtection="false">
      <alignment horizontal="left" vertical="center" textRotation="0" wrapText="false" indent="0" shrinkToFit="false"/>
      <protection locked="true" hidden="false"/>
    </xf>
    <xf numFmtId="164" fontId="20" fillId="6" borderId="16" xfId="0" applyFont="true" applyBorder="true" applyAlignment="true" applyProtection="false">
      <alignment horizontal="center" vertical="center" textRotation="0" wrapText="false" indent="0" shrinkToFit="false"/>
      <protection locked="true" hidden="false"/>
    </xf>
    <xf numFmtId="164" fontId="20" fillId="6" borderId="16" xfId="0" applyFont="true" applyBorder="true" applyAlignment="true" applyProtection="false">
      <alignment horizontal="general" vertical="bottom" textRotation="0" wrapText="false" indent="0" shrinkToFit="false"/>
      <protection locked="true" hidden="false"/>
    </xf>
    <xf numFmtId="164" fontId="20" fillId="6" borderId="17"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70" fontId="10" fillId="13" borderId="1"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right" vertical="bottom" textRotation="0" wrapText="false" indent="0" shrinkToFit="false"/>
      <protection locked="true" hidden="false"/>
    </xf>
    <xf numFmtId="164" fontId="21" fillId="14" borderId="1"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general" vertical="bottom" textRotation="0" wrapText="false" indent="0" shrinkToFit="false"/>
      <protection locked="true" hidden="false"/>
    </xf>
    <xf numFmtId="164" fontId="21" fillId="15" borderId="0"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true" indent="0" shrinkToFit="false"/>
      <protection locked="true" hidden="false"/>
    </xf>
    <xf numFmtId="164" fontId="18"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general" vertical="bottom" textRotation="0" wrapText="false" indent="0" shrinkToFit="false"/>
      <protection locked="true" hidden="false"/>
    </xf>
    <xf numFmtId="164" fontId="18" fillId="16" borderId="1" xfId="0" applyFont="true" applyBorder="true" applyAlignment="true" applyProtection="false">
      <alignment horizontal="general" vertical="bottom" textRotation="0" wrapText="false" indent="0" shrinkToFit="false"/>
      <protection locked="true" hidden="false"/>
    </xf>
    <xf numFmtId="164" fontId="17" fillId="16" borderId="1" xfId="0" applyFont="true" applyBorder="true" applyAlignment="true" applyProtection="true">
      <alignment horizontal="general" vertical="bottom" textRotation="0" wrapText="false" indent="0" shrinkToFit="false"/>
      <protection locked="false" hidden="false"/>
    </xf>
    <xf numFmtId="164" fontId="18" fillId="16" borderId="1" xfId="0" applyFont="true" applyBorder="true" applyAlignment="true" applyProtection="false">
      <alignment horizontal="general" vertical="bottom" textRotation="0" wrapText="true" indent="0" shrinkToFit="false"/>
      <protection locked="true" hidden="false"/>
    </xf>
    <xf numFmtId="164" fontId="17" fillId="16" borderId="1" xfId="0" applyFont="true" applyBorder="true" applyAlignment="true" applyProtection="true">
      <alignment horizontal="general" vertical="bottom" textRotation="0" wrapText="true" indent="0" shrinkToFit="false"/>
      <protection locked="false" hidden="false"/>
    </xf>
    <xf numFmtId="164" fontId="17" fillId="2" borderId="0" xfId="0" applyFont="true" applyBorder="false" applyAlignment="true" applyProtection="true">
      <alignment horizontal="right" vertical="bottom" textRotation="0" wrapText="false" indent="0" shrinkToFit="false"/>
      <protection locked="false" hidden="false"/>
    </xf>
    <xf numFmtId="172" fontId="18" fillId="2" borderId="0" xfId="0" applyFont="tru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true">
      <alignment horizontal="right" vertical="bottom" textRotation="0" wrapText="false" indent="0" shrinkToFit="false"/>
      <protection locked="false" hidden="false"/>
    </xf>
    <xf numFmtId="172" fontId="18" fillId="6" borderId="0" xfId="0" applyFont="true" applyBorder="false" applyAlignment="true" applyProtection="false">
      <alignment horizontal="general" vertical="bottom" textRotation="0" wrapText="false" indent="0" shrinkToFit="false"/>
      <protection locked="true" hidden="false"/>
    </xf>
    <xf numFmtId="172" fontId="6" fillId="2"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right"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false" indent="0" shrinkToFit="false"/>
      <protection locked="true" hidden="false"/>
    </xf>
    <xf numFmtId="172" fontId="22" fillId="2" borderId="18" xfId="0" applyFont="true" applyBorder="tru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left"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true" indent="0" shrinkToFit="false"/>
      <protection locked="true" hidden="false"/>
    </xf>
    <xf numFmtId="172" fontId="25" fillId="2" borderId="0" xfId="0" applyFont="true" applyBorder="false" applyAlignment="true" applyProtection="false">
      <alignment horizontal="general" vertical="bottom" textRotation="0" wrapText="false" indent="0" shrinkToFit="false"/>
      <protection locked="true" hidden="false"/>
    </xf>
    <xf numFmtId="172" fontId="22" fillId="6" borderId="18" xfId="0" applyFont="true" applyBorder="true" applyAlignment="tru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true" indent="0" shrinkToFit="false"/>
      <protection locked="true" hidden="false"/>
    </xf>
    <xf numFmtId="164" fontId="18" fillId="16" borderId="1" xfId="0" applyFont="true" applyBorder="true" applyAlignment="true" applyProtection="false">
      <alignment horizontal="left" vertical="bottom" textRotation="0" wrapText="true" indent="0" shrinkToFit="false"/>
      <protection locked="true" hidden="false"/>
    </xf>
    <xf numFmtId="164" fontId="18" fillId="16" borderId="1" xfId="0" applyFont="true" applyBorder="true" applyAlignment="true" applyProtection="false">
      <alignment horizontal="right" vertical="bottom" textRotation="0" wrapText="true" indent="0" shrinkToFit="false"/>
      <protection locked="true" hidden="false"/>
    </xf>
    <xf numFmtId="164" fontId="26" fillId="14" borderId="19" xfId="0" applyFont="true" applyBorder="true" applyAlignment="true" applyProtection="false">
      <alignment horizontal="center" vertical="center" textRotation="0" wrapText="false" indent="0" shrinkToFit="false"/>
      <protection locked="true" hidden="false"/>
    </xf>
    <xf numFmtId="164" fontId="26" fillId="14" borderId="18" xfId="0" applyFont="true" applyBorder="true" applyAlignment="true" applyProtection="false">
      <alignment horizontal="center" vertical="center" textRotation="0" wrapText="false" indent="0" shrinkToFit="false"/>
      <protection locked="true" hidden="false"/>
    </xf>
    <xf numFmtId="164" fontId="26" fillId="14" borderId="20" xfId="0" applyFont="true" applyBorder="true" applyAlignment="true" applyProtection="false">
      <alignment horizontal="center" vertical="center" textRotation="0" wrapText="false" indent="0" shrinkToFit="false"/>
      <protection locked="true" hidden="false"/>
    </xf>
    <xf numFmtId="164" fontId="22" fillId="16" borderId="15" xfId="0" applyFont="true" applyBorder="true" applyAlignment="true" applyProtection="false">
      <alignment horizontal="center" vertical="center" textRotation="0" wrapText="false" indent="0" shrinkToFit="false"/>
      <protection locked="true" hidden="false"/>
    </xf>
    <xf numFmtId="164" fontId="22" fillId="16" borderId="17" xfId="0" applyFont="true" applyBorder="true" applyAlignment="true" applyProtection="false">
      <alignment horizontal="center" vertical="center" textRotation="0" wrapText="true" indent="0" shrinkToFit="false"/>
      <protection locked="true" hidden="false"/>
    </xf>
    <xf numFmtId="164" fontId="22" fillId="16" borderId="15" xfId="0" applyFont="true" applyBorder="true" applyAlignment="true" applyProtection="false">
      <alignment horizontal="left" vertical="center" textRotation="0" wrapText="true" indent="0" shrinkToFit="false"/>
      <protection locked="true" hidden="false"/>
    </xf>
    <xf numFmtId="164" fontId="18" fillId="16" borderId="15" xfId="0" applyFont="true" applyBorder="true" applyAlignment="true" applyProtection="false">
      <alignment horizontal="general" vertical="bottom" textRotation="0" wrapText="false" indent="0" shrinkToFit="false"/>
      <protection locked="true" hidden="false"/>
    </xf>
    <xf numFmtId="164" fontId="18" fillId="16" borderId="17" xfId="0" applyFont="true" applyBorder="true" applyAlignment="true" applyProtection="false">
      <alignment horizontal="general" vertical="bottom" textRotation="0" wrapText="false" indent="0" shrinkToFit="false"/>
      <protection locked="true" hidden="false"/>
    </xf>
    <xf numFmtId="164" fontId="18" fillId="16" borderId="15" xfId="0" applyFont="true" applyBorder="true" applyAlignment="true" applyProtection="false">
      <alignment horizontal="general" vertical="bottom" textRotation="0" wrapText="true" indent="0" shrinkToFit="false"/>
      <protection locked="true" hidden="false"/>
    </xf>
    <xf numFmtId="164" fontId="18" fillId="16" borderId="17" xfId="0" applyFont="true" applyBorder="true" applyAlignment="true" applyProtection="false">
      <alignment horizontal="general" vertical="bottom" textRotation="0" wrapText="tru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26" fillId="14" borderId="15" xfId="0" applyFont="true" applyBorder="true" applyAlignment="true" applyProtection="false">
      <alignment horizontal="general" vertical="center" textRotation="0" wrapText="false" indent="0" shrinkToFit="false"/>
      <protection locked="true" hidden="false"/>
    </xf>
    <xf numFmtId="164" fontId="26" fillId="14" borderId="16" xfId="0" applyFont="true" applyBorder="true" applyAlignment="true" applyProtection="false">
      <alignment horizontal="general" vertical="center" textRotation="0" wrapText="false" indent="0" shrinkToFit="false"/>
      <protection locked="true" hidden="false"/>
    </xf>
    <xf numFmtId="164" fontId="26" fillId="14" borderId="17" xfId="0" applyFont="true" applyBorder="true" applyAlignment="true" applyProtection="false">
      <alignment horizontal="general" vertical="center" textRotation="0" wrapText="false" indent="0" shrinkToFit="false"/>
      <protection locked="true" hidden="false"/>
    </xf>
    <xf numFmtId="164" fontId="18" fillId="16" borderId="21" xfId="0" applyFont="true" applyBorder="true" applyAlignment="true" applyProtection="false">
      <alignment horizontal="general" vertical="bottom" textRotation="0" wrapText="true" indent="0" shrinkToFit="false"/>
      <protection locked="true" hidden="false"/>
    </xf>
    <xf numFmtId="166" fontId="18" fillId="16" borderId="21" xfId="0" applyFont="true" applyBorder="true" applyAlignment="true" applyProtection="false">
      <alignment horizontal="center" vertical="bottom" textRotation="0" wrapText="true" indent="0" shrinkToFit="false"/>
      <protection locked="true" hidden="false"/>
    </xf>
    <xf numFmtId="164" fontId="18" fillId="16" borderId="16" xfId="0" applyFont="true" applyBorder="true" applyAlignment="true" applyProtection="false">
      <alignment horizontal="general" vertical="bottom" textRotation="0" wrapText="false" indent="0" shrinkToFit="false"/>
      <protection locked="true" hidden="false"/>
    </xf>
    <xf numFmtId="166" fontId="18" fillId="16" borderId="1" xfId="0" applyFont="true" applyBorder="true" applyAlignment="true" applyProtection="false">
      <alignment horizontal="center" vertical="bottom" textRotation="0" wrapText="true" indent="0" shrinkToFit="false"/>
      <protection locked="true" hidden="false"/>
    </xf>
    <xf numFmtId="164" fontId="18" fillId="3" borderId="0" xfId="0" applyFont="true" applyBorder="false" applyAlignment="true" applyProtection="false">
      <alignment horizontal="left" vertical="bottom" textRotation="0" wrapText="true" indent="0" shrinkToFit="false"/>
      <protection locked="true" hidden="false"/>
    </xf>
    <xf numFmtId="164" fontId="18" fillId="16" borderId="16" xfId="0" applyFont="true" applyBorder="true" applyAlignment="true" applyProtection="false">
      <alignment horizontal="left" vertical="top" textRotation="0" wrapText="false" indent="0" shrinkToFit="false"/>
      <protection locked="true" hidden="false"/>
    </xf>
    <xf numFmtId="164" fontId="18" fillId="16" borderId="17" xfId="0" applyFont="true" applyBorder="true" applyAlignment="true" applyProtection="false">
      <alignment horizontal="left" vertical="top" textRotation="0" wrapText="false" indent="0" shrinkToFit="false"/>
      <protection locked="true" hidden="false"/>
    </xf>
    <xf numFmtId="164" fontId="27" fillId="6" borderId="0" xfId="0" applyFont="true" applyBorder="true" applyAlignment="true" applyProtection="false">
      <alignment horizontal="left"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3" borderId="0" xfId="31" applyFont="true" applyBorder="false" applyAlignment="true" applyProtection="false">
      <alignment horizontal="general" vertical="bottom" textRotation="0" wrapText="true" indent="0" shrinkToFit="false"/>
      <protection locked="true" hidden="false"/>
    </xf>
    <xf numFmtId="164" fontId="14" fillId="3" borderId="0" xfId="31"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general" vertical="bottom" textRotation="0" wrapText="true" indent="0" shrinkToFit="false"/>
      <protection locked="true" hidden="false"/>
    </xf>
    <xf numFmtId="164" fontId="25" fillId="13"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false" indent="0" shrinkToFit="false"/>
      <protection locked="true" hidden="false"/>
    </xf>
    <xf numFmtId="164" fontId="28" fillId="18" borderId="0" xfId="0" applyFont="true" applyBorder="false" applyAlignment="true" applyProtection="false">
      <alignment horizontal="left" vertical="bottom" textRotation="0" wrapText="true" indent="0" shrinkToFit="false"/>
      <protection locked="true" hidden="false"/>
    </xf>
    <xf numFmtId="164" fontId="18" fillId="18" borderId="0" xfId="0" applyFont="true" applyBorder="false" applyAlignment="true" applyProtection="false">
      <alignment horizontal="general" vertical="center" textRotation="0" wrapText="false" indent="0" shrinkToFit="false"/>
      <protection locked="true" hidden="false"/>
    </xf>
    <xf numFmtId="164" fontId="18" fillId="18" borderId="0" xfId="0" applyFont="true" applyBorder="false" applyAlignment="true" applyProtection="false">
      <alignment horizontal="general" vertical="center" textRotation="0" wrapText="true" indent="0" shrinkToFit="false"/>
      <protection locked="true" hidden="false"/>
    </xf>
    <xf numFmtId="172" fontId="10" fillId="18" borderId="0" xfId="0" applyFont="true" applyBorder="false" applyAlignment="true" applyProtection="false">
      <alignment horizontal="left" vertical="bottom" textRotation="0" wrapText="true" indent="0" shrinkToFit="false"/>
      <protection locked="true" hidden="false"/>
    </xf>
    <xf numFmtId="173" fontId="17" fillId="18" borderId="0" xfId="0" applyFont="true" applyBorder="false" applyAlignment="true" applyProtection="true">
      <alignment horizontal="general" vertical="center" textRotation="0" wrapText="true" indent="0" shrinkToFit="false"/>
      <protection locked="false" hidden="false"/>
    </xf>
    <xf numFmtId="174" fontId="18" fillId="18" borderId="0" xfId="0" applyFont="true" applyBorder="false" applyAlignment="true" applyProtection="false">
      <alignment horizontal="general" vertical="center" textRotation="0" wrapText="true" indent="0" shrinkToFit="false"/>
      <protection locked="true" hidden="false"/>
    </xf>
    <xf numFmtId="164" fontId="22" fillId="18" borderId="0" xfId="0" applyFont="true" applyBorder="false" applyAlignment="true" applyProtection="false">
      <alignment horizontal="general" vertical="bottom" textRotation="0" wrapText="false" indent="0" shrinkToFit="false"/>
      <protection locked="true" hidden="false"/>
    </xf>
    <xf numFmtId="164" fontId="29" fillId="18" borderId="0" xfId="0" applyFont="true" applyBorder="false" applyAlignment="true" applyProtection="true">
      <alignment horizontal="general" vertical="bottom" textRotation="0" wrapText="false" indent="0" shrinkToFit="false"/>
      <protection locked="false" hidden="false"/>
    </xf>
    <xf numFmtId="170" fontId="22" fillId="18" borderId="0" xfId="0" applyFont="true" applyBorder="false" applyAlignment="true" applyProtection="false">
      <alignment horizontal="general" vertical="bottom" textRotation="0" wrapText="true" indent="0" shrinkToFit="false"/>
      <protection locked="true" hidden="false"/>
    </xf>
    <xf numFmtId="164" fontId="22" fillId="18" borderId="0" xfId="0" applyFont="true" applyBorder="true" applyAlignment="true" applyProtection="false">
      <alignment horizontal="left" vertical="bottom" textRotation="0" wrapText="fals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right" vertical="bottom" textRotation="0" wrapText="true" indent="0" shrinkToFit="false"/>
      <protection locked="true" hidden="false"/>
    </xf>
    <xf numFmtId="164" fontId="18" fillId="18"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general" vertical="bottom" textRotation="0" wrapText="true" indent="0" shrinkToFit="false"/>
      <protection locked="true" hidden="false"/>
    </xf>
    <xf numFmtId="164" fontId="31" fillId="17" borderId="0" xfId="0" applyFont="true" applyBorder="false" applyAlignment="true" applyProtection="false">
      <alignment horizontal="left" vertical="bottom" textRotation="0" wrapText="false" indent="0" shrinkToFit="false"/>
      <protection locked="true" hidden="false"/>
    </xf>
    <xf numFmtId="164" fontId="31" fillId="17" borderId="0" xfId="0" applyFont="true" applyBorder="false" applyAlignment="true" applyProtection="false">
      <alignment horizontal="center" vertical="bottom" textRotation="0" wrapText="false" indent="0" shrinkToFit="false"/>
      <protection locked="true" hidden="false"/>
    </xf>
    <xf numFmtId="164" fontId="18" fillId="18" borderId="0" xfId="0" applyFont="true" applyBorder="false" applyAlignment="true" applyProtection="false">
      <alignment horizontal="left" vertical="bottom" textRotation="0" wrapText="false" indent="0" shrinkToFit="false"/>
      <protection locked="true" hidden="false"/>
    </xf>
    <xf numFmtId="170" fontId="18" fillId="18" borderId="0" xfId="0" applyFont="true" applyBorder="false" applyAlignment="true" applyProtection="false">
      <alignment horizontal="right" vertical="bottom" textRotation="0" wrapText="false" indent="0" shrinkToFit="false"/>
      <protection locked="true" hidden="false"/>
    </xf>
    <xf numFmtId="164" fontId="25" fillId="18" borderId="0" xfId="0" applyFont="true" applyBorder="false" applyAlignment="true" applyProtection="false">
      <alignment horizontal="general" vertical="bottom" textRotation="0" wrapText="true" indent="0" shrinkToFit="false"/>
      <protection locked="true" hidden="false"/>
    </xf>
    <xf numFmtId="170" fontId="25" fillId="18" borderId="18" xfId="0" applyFont="true" applyBorder="true" applyAlignment="true" applyProtection="false">
      <alignment horizontal="right" vertical="bottom" textRotation="0" wrapText="false" indent="0" shrinkToFit="false"/>
      <protection locked="true" hidden="false"/>
    </xf>
    <xf numFmtId="164" fontId="22" fillId="18" borderId="0" xfId="0" applyFont="true" applyBorder="false" applyAlignment="true" applyProtection="false">
      <alignment horizontal="right" vertical="bottom" textRotation="0" wrapText="false" indent="0" shrinkToFit="false"/>
      <protection locked="true" hidden="false"/>
    </xf>
    <xf numFmtId="164" fontId="14" fillId="3" borderId="0" xfId="31" applyFont="true" applyBorder="false" applyAlignment="true" applyProtection="false">
      <alignment horizontal="right" vertical="bottom" textRotation="0" wrapText="false" indent="0" shrinkToFit="false"/>
      <protection locked="true" hidden="false"/>
    </xf>
    <xf numFmtId="164" fontId="25" fillId="6" borderId="0" xfId="0" applyFont="true" applyBorder="false" applyAlignment="true" applyProtection="false">
      <alignment horizontal="general" vertical="bottom" textRotation="0" wrapText="true" indent="0" shrinkToFit="false"/>
      <protection locked="true" hidden="false"/>
    </xf>
    <xf numFmtId="164" fontId="28" fillId="18"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false" applyAlignment="true" applyProtection="false">
      <alignment horizontal="general" vertical="bottom" textRotation="0" wrapText="false" indent="0" shrinkToFit="false"/>
      <protection locked="true" hidden="false"/>
    </xf>
    <xf numFmtId="170" fontId="22" fillId="3" borderId="0" xfId="0" applyFont="true" applyBorder="false" applyAlignment="true" applyProtection="false">
      <alignment horizontal="general" vertical="bottom" textRotation="0" wrapText="true" indent="0" shrinkToFit="false"/>
      <protection locked="true" hidden="false"/>
    </xf>
    <xf numFmtId="164" fontId="25" fillId="6" borderId="0" xfId="0" applyFont="true" applyBorder="false" applyAlignment="true" applyProtection="false">
      <alignment horizontal="left" vertical="bottom" textRotation="0" wrapText="false" indent="0" shrinkToFit="false"/>
      <protection locked="true" hidden="false"/>
    </xf>
    <xf numFmtId="164" fontId="31" fillId="6" borderId="0" xfId="0" applyFont="true" applyBorder="false" applyAlignment="true" applyProtection="false">
      <alignment horizontal="center" vertical="bottom" textRotation="0" wrapText="false" indent="0" shrinkToFit="false"/>
      <protection locked="true" hidden="false"/>
    </xf>
    <xf numFmtId="170" fontId="25" fillId="18"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27" fillId="13" borderId="2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7" fillId="12" borderId="2" xfId="0" applyFont="true" applyBorder="true" applyAlignment="true" applyProtection="false">
      <alignment horizontal="left" vertical="center" textRotation="0" wrapText="true" indent="0" shrinkToFit="false"/>
      <protection locked="true" hidden="false"/>
    </xf>
    <xf numFmtId="164" fontId="33" fillId="12" borderId="2" xfId="0" applyFont="true" applyBorder="true" applyAlignment="true" applyProtection="false">
      <alignment horizontal="left" vertical="center" textRotation="0" wrapText="true" indent="0" shrinkToFit="false"/>
      <protection locked="true" hidden="false"/>
    </xf>
    <xf numFmtId="164" fontId="6" fillId="12" borderId="2" xfId="0" applyFont="true" applyBorder="true" applyAlignment="true" applyProtection="false">
      <alignment horizontal="left" vertical="bottom" textRotation="0" wrapText="false" indent="0" shrinkToFit="false"/>
      <protection locked="true" hidden="false"/>
    </xf>
    <xf numFmtId="164" fontId="6" fillId="12" borderId="12" xfId="0" applyFont="true" applyBorder="true" applyAlignment="true" applyProtection="false">
      <alignment horizontal="left" vertical="bottom" textRotation="0" wrapText="false" indent="0" shrinkToFit="false"/>
      <protection locked="true" hidden="false"/>
    </xf>
    <xf numFmtId="164" fontId="27" fillId="7" borderId="1" xfId="0" applyFont="true" applyBorder="true" applyAlignment="true" applyProtection="false">
      <alignment horizontal="center" vertical="bottom" textRotation="0" wrapText="false" indent="0" shrinkToFit="false"/>
      <protection locked="true" hidden="false"/>
    </xf>
    <xf numFmtId="164" fontId="34" fillId="19"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4" fontId="35" fillId="3"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64" fontId="27"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72" fontId="36" fillId="0" borderId="1" xfId="0" applyFont="true" applyBorder="true" applyAlignment="true" applyProtection="false">
      <alignment horizontal="center" vertical="center" textRotation="0" wrapText="true" indent="0" shrinkToFit="false" readingOrder="1"/>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23" xfId="0" applyFont="true" applyBorder="true" applyAlignment="true" applyProtection="false">
      <alignment horizontal="general" vertical="bottom" textRotation="0" wrapText="false" indent="0" shrinkToFit="false"/>
      <protection locked="true" hidden="false"/>
    </xf>
    <xf numFmtId="164" fontId="6" fillId="0" borderId="24"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27" fillId="7" borderId="1" xfId="0" applyFont="true" applyBorder="true" applyAlignment="true" applyProtection="false">
      <alignment horizontal="center" vertical="bottom" textRotation="0" wrapText="true" indent="0" shrinkToFit="false"/>
      <protection locked="true" hidden="false"/>
    </xf>
    <xf numFmtId="164" fontId="34" fillId="19" borderId="1" xfId="0" applyFont="true" applyBorder="true" applyAlignment="true" applyProtection="false">
      <alignment horizontal="center" vertical="bottom" textRotation="0" wrapText="true" indent="0" shrinkToFit="false"/>
      <protection locked="true" hidden="false"/>
    </xf>
    <xf numFmtId="164" fontId="27" fillId="0" borderId="1" xfId="0" applyFont="true" applyBorder="true" applyAlignment="true" applyProtection="false">
      <alignment horizontal="left" vertical="center" textRotation="0" wrapText="true" indent="0" shrinkToFit="false"/>
      <protection locked="true" hidden="false"/>
    </xf>
    <xf numFmtId="172" fontId="6" fillId="0" borderId="1" xfId="0" applyFont="true" applyBorder="true" applyAlignment="true" applyProtection="false">
      <alignment horizontal="left" vertical="bottom" textRotation="0" wrapText="true" indent="0" shrinkToFit="false"/>
      <protection locked="true" hidden="false"/>
    </xf>
    <xf numFmtId="175"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left" vertical="bottom" textRotation="0" wrapText="true" indent="0" shrinkToFit="false"/>
      <protection locked="true" hidden="false"/>
    </xf>
    <xf numFmtId="164" fontId="37" fillId="3"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72" fontId="40"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center" vertical="center" textRotation="0" wrapText="true" indent="0" shrinkToFit="false"/>
      <protection locked="true" hidden="false"/>
    </xf>
    <xf numFmtId="164" fontId="42" fillId="20" borderId="0" xfId="0" applyFont="true" applyBorder="true" applyAlignment="true" applyProtection="false">
      <alignment horizontal="center" vertical="center" textRotation="0" wrapText="true" indent="0" shrinkToFit="false"/>
      <protection locked="true" hidden="false"/>
    </xf>
    <xf numFmtId="164" fontId="43" fillId="14" borderId="1" xfId="0" applyFont="true" applyBorder="true" applyAlignment="true" applyProtection="false">
      <alignment horizontal="center" vertical="center" textRotation="0" wrapText="true" indent="0" shrinkToFit="false"/>
      <protection locked="true" hidden="false"/>
    </xf>
    <xf numFmtId="164" fontId="44" fillId="0" borderId="25" xfId="0" applyFont="true" applyBorder="true" applyAlignment="true" applyProtection="false">
      <alignment horizontal="left" vertical="center" textRotation="0" wrapText="tru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2" fontId="7"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70" fontId="7"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3" borderId="2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72" fontId="35" fillId="3" borderId="25" xfId="0" applyFont="true" applyBorder="true" applyAlignment="true" applyProtection="false">
      <alignment horizontal="general" vertical="center" textRotation="0" wrapText="true" indent="0" shrinkToFit="false"/>
      <protection locked="true" hidden="false"/>
    </xf>
    <xf numFmtId="164" fontId="35" fillId="3" borderId="1" xfId="0" applyFont="true" applyBorder="true" applyAlignment="true" applyProtection="false">
      <alignment horizontal="general" vertical="center" textRotation="0" wrapText="true" indent="0" shrinkToFit="false"/>
      <protection locked="true" hidden="false"/>
    </xf>
    <xf numFmtId="172" fontId="7" fillId="3" borderId="0" xfId="0" applyFont="true" applyBorder="false" applyAlignment="true" applyProtection="false">
      <alignment horizontal="general" vertical="center" textRotation="0" wrapText="true" indent="0" shrinkToFit="false"/>
      <protection locked="true" hidden="false"/>
    </xf>
    <xf numFmtId="172" fontId="7" fillId="3" borderId="1" xfId="0" applyFont="true" applyBorder="true" applyAlignment="true" applyProtection="false">
      <alignment horizontal="center" vertical="center" textRotation="0" wrapText="true" indent="0" shrinkToFit="false"/>
      <protection locked="true" hidden="false"/>
    </xf>
    <xf numFmtId="172" fontId="7" fillId="3" borderId="0" xfId="0" applyFont="true" applyBorder="false" applyAlignment="true" applyProtection="false">
      <alignment horizontal="left" vertical="center" textRotation="0" wrapText="true" indent="0" shrinkToFit="false"/>
      <protection locked="true" hidden="false"/>
    </xf>
    <xf numFmtId="164" fontId="6" fillId="3" borderId="21" xfId="0" applyFont="true" applyBorder="true" applyAlignment="true" applyProtection="false">
      <alignment horizontal="general" vertical="center" textRotation="0" wrapText="true" indent="0" shrinkToFit="false"/>
      <protection locked="true" hidden="false"/>
    </xf>
    <xf numFmtId="176" fontId="7"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70" fontId="6"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35" fillId="0" borderId="25" xfId="0" applyFont="true" applyBorder="true" applyAlignment="true" applyProtection="false">
      <alignment horizontal="general" vertical="center" textRotation="0" wrapText="true" indent="0" shrinkToFit="false"/>
      <protection locked="true" hidden="false"/>
    </xf>
    <xf numFmtId="164" fontId="35" fillId="0" borderId="1" xfId="0" applyFont="true" applyBorder="true" applyAlignment="true" applyProtection="false">
      <alignment horizontal="general" vertical="center" textRotation="0" wrapText="true" indent="0" shrinkToFit="false"/>
      <protection locked="true" hidden="false"/>
    </xf>
    <xf numFmtId="172" fontId="7"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right" vertical="center" textRotation="0" wrapText="true" indent="0" shrinkToFit="false"/>
      <protection locked="true" hidden="false"/>
    </xf>
    <xf numFmtId="164" fontId="6" fillId="0" borderId="24" xfId="0" applyFont="true" applyBorder="tru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4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26" xfId="0" applyFont="false" applyBorder="true" applyAlignment="true" applyProtection="false">
      <alignment horizontal="center" vertical="center" textRotation="0" wrapText="true" indent="0" shrinkToFit="false"/>
      <protection locked="true" hidden="false"/>
    </xf>
    <xf numFmtId="164" fontId="0" fillId="0" borderId="26" xfId="0" applyFont="fals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left"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35" fillId="21" borderId="1" xfId="0" applyFont="true" applyBorder="true" applyAlignment="true" applyProtection="false">
      <alignment horizontal="general" vertical="bottom" textRotation="0" wrapText="false" indent="0" shrinkToFit="false"/>
      <protection locked="true" hidden="false"/>
    </xf>
    <xf numFmtId="164" fontId="35" fillId="21"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left" vertical="center" textRotation="0" wrapText="false" indent="0" shrinkToFit="false"/>
      <protection locked="true" hidden="false"/>
    </xf>
    <xf numFmtId="164" fontId="35" fillId="2"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false" hidden="false"/>
    </xf>
    <xf numFmtId="164" fontId="6" fillId="3" borderId="27" xfId="0" applyFont="true" applyBorder="true" applyAlignment="true" applyProtection="false">
      <alignment horizontal="general" vertical="bottom" textRotation="0" wrapText="false" indent="0" shrinkToFit="false"/>
      <protection locked="true" hidden="false"/>
    </xf>
    <xf numFmtId="170" fontId="6" fillId="3" borderId="25" xfId="0" applyFont="true" applyBorder="true" applyAlignment="true" applyProtection="false">
      <alignment horizontal="center" vertical="center" textRotation="0" wrapText="false" indent="0" shrinkToFit="false"/>
      <protection locked="true" hidden="false"/>
    </xf>
    <xf numFmtId="170" fontId="6" fillId="3" borderId="28" xfId="0" applyFont="true" applyBorder="true" applyAlignment="true" applyProtection="false">
      <alignment horizontal="center" vertical="center" textRotation="0" wrapText="false" indent="0" shrinkToFit="false"/>
      <protection locked="true" hidden="false"/>
    </xf>
    <xf numFmtId="164" fontId="35" fillId="6" borderId="27" xfId="0" applyFont="true" applyBorder="true" applyAlignment="true" applyProtection="false">
      <alignment horizontal="left" vertical="center" textRotation="0" wrapText="false" indent="0" shrinkToFit="false"/>
      <protection locked="true" hidden="false"/>
    </xf>
    <xf numFmtId="164" fontId="35" fillId="6" borderId="25" xfId="0" applyFont="true" applyBorder="true" applyAlignment="true" applyProtection="false">
      <alignment horizontal="center" vertical="center" textRotation="0" wrapText="false" indent="0" shrinkToFit="false"/>
      <protection locked="true" hidden="false"/>
    </xf>
    <xf numFmtId="164" fontId="35" fillId="6" borderId="25" xfId="0" applyFont="true" applyBorder="true" applyAlignment="true" applyProtection="false">
      <alignment horizontal="general" vertical="bottom" textRotation="0" wrapText="false" indent="0" shrinkToFit="false"/>
      <protection locked="true" hidden="false"/>
    </xf>
    <xf numFmtId="164" fontId="35" fillId="6" borderId="28"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72" fontId="6" fillId="13"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5" xfId="0" applyFont="true" applyBorder="true" applyAlignment="true" applyProtection="false">
      <alignment horizontal="general" vertical="bottom" textRotation="0" wrapText="false" indent="0" shrinkToFit="false"/>
      <protection locked="true" hidden="false"/>
    </xf>
    <xf numFmtId="164" fontId="6" fillId="0" borderId="16" xfId="0" applyFont="true" applyBorder="true" applyAlignment="true" applyProtection="false">
      <alignment horizontal="general" vertical="bottom" textRotation="0" wrapText="false" indent="0" shrinkToFit="false"/>
      <protection locked="true" hidden="false"/>
    </xf>
    <xf numFmtId="164" fontId="6" fillId="0" borderId="17" xfId="0" applyFont="true" applyBorder="true" applyAlignment="true" applyProtection="false">
      <alignment horizontal="general" vertical="bottom" textRotation="0" wrapText="false" indent="0" shrinkToFit="false"/>
      <protection locked="true" hidden="false"/>
    </xf>
    <xf numFmtId="164" fontId="35" fillId="6" borderId="15" xfId="0" applyFont="true" applyBorder="true" applyAlignment="true" applyProtection="false">
      <alignment horizontal="left" vertical="center" textRotation="0" wrapText="false" indent="0" shrinkToFit="false"/>
      <protection locked="true" hidden="false"/>
    </xf>
    <xf numFmtId="164" fontId="35" fillId="6" borderId="16" xfId="0" applyFont="true" applyBorder="true" applyAlignment="true" applyProtection="false">
      <alignment horizontal="center" vertical="center" textRotation="0" wrapText="false" indent="0" shrinkToFit="false"/>
      <protection locked="true" hidden="false"/>
    </xf>
    <xf numFmtId="164" fontId="35" fillId="6" borderId="16" xfId="0" applyFont="true" applyBorder="true" applyAlignment="true" applyProtection="false">
      <alignment horizontal="general" vertical="bottom" textRotation="0" wrapText="false" indent="0" shrinkToFit="false"/>
      <protection locked="true" hidden="false"/>
    </xf>
    <xf numFmtId="164" fontId="35" fillId="6" borderId="17"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70" fontId="6" fillId="13"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4" fontId="6" fillId="0" borderId="0" xfId="31" applyFont="true" applyBorder="false" applyAlignment="true" applyProtection="false">
      <alignment horizontal="general" vertical="bottom"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70" fontId="16" fillId="0" borderId="13" xfId="0" applyFont="true" applyBorder="true" applyAlignment="true" applyProtection="false">
      <alignment horizontal="center" vertical="center" textRotation="0" wrapText="true" indent="0" shrinkToFit="false"/>
      <protection locked="true" hidden="false"/>
    </xf>
    <xf numFmtId="164" fontId="20" fillId="0" borderId="13" xfId="0" applyFont="true" applyBorder="true" applyAlignment="true" applyProtection="false">
      <alignment horizontal="center" vertical="center" textRotation="0" wrapText="true" indent="0" shrinkToFit="false"/>
      <protection locked="true" hidden="false"/>
    </xf>
    <xf numFmtId="164" fontId="6" fillId="0" borderId="13" xfId="0" applyFont="true" applyBorder="true" applyAlignment="true" applyProtection="false">
      <alignment horizontal="general" vertical="bottom" textRotation="0" wrapText="false" indent="0" shrinkToFit="false"/>
      <protection locked="true" hidden="false"/>
    </xf>
    <xf numFmtId="164" fontId="6" fillId="0" borderId="13" xfId="0" applyFont="true" applyBorder="true" applyAlignment="true" applyProtection="false">
      <alignment horizontal="center" vertical="bottom" textRotation="0" wrapText="false" indent="0" shrinkToFit="false"/>
      <protection locked="true" hidden="false"/>
    </xf>
    <xf numFmtId="177" fontId="0" fillId="0" borderId="13" xfId="0" applyFont="false" applyBorder="true" applyAlignment="true" applyProtection="false">
      <alignment horizontal="general" vertical="bottom" textRotation="0" wrapText="false" indent="0" shrinkToFit="false"/>
      <protection locked="true" hidden="false"/>
    </xf>
    <xf numFmtId="170" fontId="0" fillId="0" borderId="13" xfId="0" applyFont="false" applyBorder="true" applyAlignment="true" applyProtection="false">
      <alignment horizontal="general" vertical="bottom" textRotation="0" wrapText="false" indent="0" shrinkToFit="false"/>
      <protection locked="true" hidden="false"/>
    </xf>
    <xf numFmtId="170" fontId="6" fillId="0" borderId="13" xfId="0" applyFont="true" applyBorder="true" applyAlignment="true" applyProtection="false">
      <alignment horizontal="general" vertical="bottom" textRotation="0" wrapText="false" indent="0" shrinkToFit="false"/>
      <protection locked="true" hidden="false"/>
    </xf>
    <xf numFmtId="164" fontId="14" fillId="0" borderId="13" xfId="0" applyFont="true" applyBorder="true" applyAlignment="true" applyProtection="false">
      <alignment horizontal="left" vertical="center" textRotation="0" wrapText="true" indent="0" shrinkToFit="false"/>
      <protection locked="true" hidden="false"/>
    </xf>
    <xf numFmtId="170" fontId="14" fillId="0" borderId="13" xfId="0" applyFont="true" applyBorder="true" applyAlignment="true" applyProtection="false">
      <alignment horizontal="right" vertical="bottom" textRotation="0" wrapText="false" indent="0" shrinkToFit="false"/>
      <protection locked="true" hidden="false"/>
    </xf>
    <xf numFmtId="164" fontId="46" fillId="6" borderId="1" xfId="0" applyFont="true" applyBorder="true" applyAlignment="true" applyProtection="false">
      <alignment horizontal="center" vertical="bottom" textRotation="0" wrapText="false" indent="0" shrinkToFit="false"/>
      <protection locked="true" hidden="false"/>
    </xf>
    <xf numFmtId="164" fontId="46" fillId="6"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general" vertical="bottom" textRotation="0" wrapText="true" indent="0" shrinkToFit="false"/>
      <protection locked="true" hidden="false"/>
    </xf>
    <xf numFmtId="172" fontId="14"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false" indent="0" shrinkToFit="false"/>
      <protection locked="true" hidden="false"/>
    </xf>
    <xf numFmtId="164" fontId="48" fillId="0" borderId="1" xfId="0" applyFont="true" applyBorder="true" applyAlignment="true" applyProtection="false">
      <alignment horizontal="left" vertical="bottom" textRotation="0" wrapText="false" indent="0" shrinkToFit="false"/>
      <protection locked="true" hidden="false"/>
    </xf>
    <xf numFmtId="164" fontId="50" fillId="3" borderId="1" xfId="0" applyFont="true" applyBorder="true" applyAlignment="true" applyProtection="false">
      <alignment horizontal="general" vertical="bottom" textRotation="0" wrapText="true" indent="0" shrinkToFit="false"/>
      <protection locked="true" hidden="false"/>
    </xf>
  </cellXfs>
  <cellStyles count="18">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Comma 3" xfId="21"/>
    <cellStyle name="Comma 4" xfId="22"/>
    <cellStyle name="Normal 2" xfId="23"/>
    <cellStyle name="Normal 2 4" xfId="24"/>
    <cellStyle name="Normal 3" xfId="25"/>
    <cellStyle name="Normal 3 3" xfId="26"/>
    <cellStyle name="Normal 4" xfId="27"/>
    <cellStyle name="Normal 5" xfId="28"/>
    <cellStyle name="Percent 2" xfId="29"/>
    <cellStyle name="Percent 3" xfId="30"/>
    <cellStyle name="Excel Built-in Normal" xfId="31"/>
  </cellStyles>
  <colors>
    <indexedColors>
      <rgbColor rgb="FF000000"/>
      <rgbColor rgb="FFFFFFFF"/>
      <rgbColor rgb="FFFF0000"/>
      <rgbColor rgb="FF00FF00"/>
      <rgbColor rgb="FF0000FF"/>
      <rgbColor rgb="FFFFFF00"/>
      <rgbColor rgb="FFFF00FF"/>
      <rgbColor rgb="FF00FFFF"/>
      <rgbColor rgb="FF800000"/>
      <rgbColor rgb="FF008000"/>
      <rgbColor rgb="FF000118"/>
      <rgbColor rgb="FF77933C"/>
      <rgbColor rgb="FF800080"/>
      <rgbColor rgb="FF008080"/>
      <rgbColor rgb="FFBFBFBF"/>
      <rgbColor rgb="FF808080"/>
      <rgbColor rgb="FF9999FF"/>
      <rgbColor rgb="FFEE2B76"/>
      <rgbColor rgb="FFFCD5B5"/>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2"/>
      <rgbColor rgb="FFD7E4BD"/>
      <rgbColor rgb="FFC3D69B"/>
      <rgbColor rgb="FF93CDDD"/>
      <rgbColor rgb="FFFF99CC"/>
      <rgbColor rgb="FFB7DEE8"/>
      <rgbColor rgb="FFFAC090"/>
      <rgbColor rgb="FF3366FF"/>
      <rgbColor rgb="FF00B0F0"/>
      <rgbColor rgb="FF92D050"/>
      <rgbColor rgb="FFFFCC00"/>
      <rgbColor rgb="FFFF9900"/>
      <rgbColor rgb="FFE46C0A"/>
      <rgbColor rgb="FF376092"/>
      <rgbColor rgb="FFA6A6A6"/>
      <rgbColor rgb="FF003366"/>
      <rgbColor rgb="FF31859C"/>
      <rgbColor rgb="FF202124"/>
      <rgbColor rgb="FF282829"/>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933C"/>
    <pageSetUpPr fitToPage="false"/>
  </sheetPr>
  <dimension ref="B2: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1</v>
      </c>
      <c r="D2" s="2" t="s">
        <v>2</v>
      </c>
    </row>
    <row r="3" customFormat="false" ht="15" hidden="false" customHeight="true" outlineLevel="0" collapsed="false">
      <c r="B3" s="3" t="n">
        <v>1</v>
      </c>
      <c r="C3" s="4" t="n">
        <v>1</v>
      </c>
      <c r="D3" s="5" t="s">
        <v>3</v>
      </c>
    </row>
    <row r="4" customFormat="false" ht="15" hidden="false" customHeight="true" outlineLevel="0" collapsed="false">
      <c r="B4" s="6" t="n">
        <v>2</v>
      </c>
      <c r="C4" s="4" t="n">
        <v>1.1</v>
      </c>
      <c r="D4" s="5" t="s">
        <v>4</v>
      </c>
    </row>
    <row r="5" customFormat="false" ht="15" hidden="false" customHeight="true" outlineLevel="0" collapsed="false">
      <c r="B5" s="6" t="n">
        <v>3</v>
      </c>
      <c r="C5" s="4" t="n">
        <v>2</v>
      </c>
      <c r="D5" s="5" t="s">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6</v>
      </c>
      <c r="D2" s="2" t="s">
        <v>2</v>
      </c>
    </row>
    <row r="3" customFormat="false" ht="15" hidden="false" customHeight="true" outlineLevel="0" collapsed="false">
      <c r="B3" s="6" t="n">
        <v>1</v>
      </c>
      <c r="C3" s="7" t="s">
        <v>7</v>
      </c>
      <c r="D3" s="5" t="s">
        <v>8</v>
      </c>
    </row>
    <row r="4" customFormat="false" ht="15" hidden="false" customHeight="true" outlineLevel="0" collapsed="false">
      <c r="B4" s="6" t="n">
        <v>2</v>
      </c>
      <c r="C4" s="7" t="s">
        <v>9</v>
      </c>
      <c r="D4" s="5" t="s">
        <v>10</v>
      </c>
    </row>
    <row r="5" customFormat="false" ht="15" hidden="false" customHeight="true" outlineLevel="0" collapsed="false">
      <c r="B5" s="6" t="n">
        <v>3</v>
      </c>
      <c r="C5" s="7" t="s">
        <v>11</v>
      </c>
      <c r="D5" s="5" t="s">
        <v>12</v>
      </c>
    </row>
    <row r="6" customFormat="false" ht="15" hidden="false" customHeight="true" outlineLevel="0" collapsed="false">
      <c r="B6" s="6" t="n">
        <v>4</v>
      </c>
      <c r="C6" s="7" t="s">
        <v>13</v>
      </c>
      <c r="D6" s="5" t="s">
        <v>14</v>
      </c>
    </row>
    <row r="7" customFormat="false" ht="15" hidden="false" customHeight="true" outlineLevel="0" collapsed="false">
      <c r="B7" s="6" t="n">
        <v>5</v>
      </c>
      <c r="C7" s="7" t="s">
        <v>15</v>
      </c>
      <c r="D7" s="5" t="s">
        <v>16</v>
      </c>
    </row>
    <row r="8" customFormat="false" ht="15" hidden="false" customHeight="true" outlineLevel="0" collapsed="false">
      <c r="B8" s="6" t="n">
        <v>6</v>
      </c>
      <c r="C8" s="7" t="s">
        <v>17</v>
      </c>
      <c r="D8" s="5" t="s">
        <v>18</v>
      </c>
    </row>
    <row r="9" customFormat="false" ht="15" hidden="false" customHeight="true" outlineLevel="0" collapsed="false">
      <c r="B9" s="6" t="n">
        <v>7</v>
      </c>
      <c r="C9" s="7" t="s">
        <v>19</v>
      </c>
      <c r="D9" s="5" t="s">
        <v>20</v>
      </c>
    </row>
    <row r="10" customFormat="false" ht="15" hidden="false" customHeight="true" outlineLevel="0" collapsed="false">
      <c r="B10" s="6" t="n">
        <v>8</v>
      </c>
      <c r="C10" s="7" t="s">
        <v>21</v>
      </c>
      <c r="D10" s="8" t="s">
        <v>22</v>
      </c>
    </row>
    <row r="11" customFormat="false" ht="15" hidden="false" customHeight="true" outlineLevel="0" collapsed="false">
      <c r="B11" s="6" t="n">
        <v>9</v>
      </c>
      <c r="C11" s="7" t="s">
        <v>23</v>
      </c>
      <c r="D11" s="8" t="s">
        <v>24</v>
      </c>
    </row>
    <row r="12" customFormat="false" ht="15" hidden="false" customHeight="true" outlineLevel="0" collapsed="false">
      <c r="B12" s="6" t="n">
        <v>10</v>
      </c>
      <c r="C12" s="7" t="s">
        <v>25</v>
      </c>
      <c r="D12" s="8" t="s">
        <v>26</v>
      </c>
    </row>
    <row r="13" customFormat="false" ht="15" hidden="false" customHeight="true" outlineLevel="0" collapsed="false">
      <c r="B13" s="6" t="n">
        <v>11</v>
      </c>
      <c r="C13" s="7" t="s">
        <v>27</v>
      </c>
      <c r="D13" s="8" t="s">
        <v>28</v>
      </c>
    </row>
    <row r="14" customFormat="false" ht="15" hidden="false" customHeight="true" outlineLevel="0" collapsed="false">
      <c r="B14" s="6" t="n">
        <v>12</v>
      </c>
      <c r="C14" s="7" t="s">
        <v>29</v>
      </c>
      <c r="D14" s="8" t="s">
        <v>30</v>
      </c>
    </row>
    <row r="15" customFormat="false" ht="15" hidden="false" customHeight="true" outlineLevel="0" collapsed="false">
      <c r="B15" s="6" t="n">
        <v>13</v>
      </c>
      <c r="C15" s="7" t="s">
        <v>31</v>
      </c>
      <c r="D15" s="8" t="s">
        <v>32</v>
      </c>
    </row>
  </sheetData>
  <sheetProtection algorithmName="SHA-512" hashValue="w6im9ytSK/YS8g8CIUKFRtE4bdnQPJKx2aPnp498LESCegX5iVwmHJi+07X9QBn7wNXJM5pCkdPO1XbHlRMJRQ==" saltValue="f49ZRXYLOhntrqRe12FaLQ==" spinCount="100000" sheet="true" objects="true" scenarios="true"/>
  <hyperlinks>
    <hyperlink ref="C3" location="Instructions!A1" display="Instructions"/>
    <hyperlink ref="C4" location="CustomerVolumes!A1" display="Customer Volumes"/>
    <hyperlink ref="C5" location="PerHourVolumes!A1" display="Per Hour Volumes"/>
    <hyperlink ref="C6" location="Calculation!A1" display="Services Calculation"/>
    <hyperlink ref="C7" location="'Datasize-Parameters'!A1" display="Datasize-Parameters"/>
    <hyperlink ref="C8" location="'Data size'!A1" display="Data size"/>
    <hyperlink ref="C9" location="'DMS DISK SIZE'!A1" display="DMS size"/>
    <hyperlink ref="C10" location="'Server size'!A1" display="Server size"/>
    <hyperlink ref="C11" location="'Bandwidth Calculator'!A1" display="Bandwidth Calculator"/>
    <hyperlink ref="C12" location="'Additional inputs'!A1" display="Additional Inputs"/>
    <hyperlink ref="C13" location="'ASSUMPTION-ONPREMISE'!A1" display="On-Prem Assumptions"/>
    <hyperlink ref="C14" location="'ASSUMPTION-CLOUD'!A1" display="Cloud Assumptions"/>
    <hyperlink ref="C15" location="'ASSUMPTION - MANAGED CLOUD'!A1" display="SaaS Assumption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4" activeCellId="0" sqref="D14"/>
    </sheetView>
  </sheetViews>
  <sheetFormatPr defaultColWidth="8.6796875" defaultRowHeight="15" zeroHeight="false" outlineLevelRow="0" outlineLevelCol="0"/>
  <cols>
    <col collapsed="false" customWidth="true" hidden="false" outlineLevel="0" max="1" min="1" style="1" width="3.42"/>
    <col collapsed="false" customWidth="true" hidden="false" outlineLevel="0" max="2" min="2" style="1" width="15.71"/>
    <col collapsed="false" customWidth="true" hidden="false" outlineLevel="0" max="3" min="3" style="9" width="23.29"/>
    <col collapsed="false" customWidth="true" hidden="false" outlineLevel="0" max="4" min="4" style="9" width="70.71"/>
  </cols>
  <sheetData>
    <row r="1" customFormat="false" ht="15" hidden="false" customHeight="true" outlineLevel="0" collapsed="false">
      <c r="A1" s="10"/>
      <c r="B1" s="10"/>
      <c r="C1" s="11"/>
      <c r="D1" s="11"/>
      <c r="E1" s="10"/>
      <c r="F1" s="10"/>
      <c r="G1" s="12"/>
      <c r="H1" s="12"/>
      <c r="I1" s="12"/>
      <c r="J1" s="12"/>
      <c r="K1" s="12"/>
      <c r="L1" s="12"/>
      <c r="M1" s="12"/>
      <c r="N1" s="12"/>
      <c r="O1" s="12"/>
    </row>
    <row r="2" customFormat="false" ht="18.75" hidden="false" customHeight="true" outlineLevel="0" collapsed="false">
      <c r="A2" s="10"/>
      <c r="B2" s="13" t="s">
        <v>33</v>
      </c>
      <c r="C2" s="13"/>
      <c r="D2" s="13"/>
      <c r="E2" s="10"/>
      <c r="F2" s="10"/>
      <c r="G2" s="12"/>
      <c r="H2" s="12"/>
      <c r="I2" s="12"/>
      <c r="J2" s="12"/>
      <c r="K2" s="12"/>
      <c r="L2" s="12"/>
      <c r="M2" s="12"/>
      <c r="N2" s="12"/>
      <c r="O2" s="12"/>
    </row>
    <row r="3" customFormat="false" ht="15" hidden="false" customHeight="true" outlineLevel="0" collapsed="false">
      <c r="A3" s="10"/>
      <c r="B3" s="14" t="s">
        <v>34</v>
      </c>
      <c r="C3" s="14"/>
      <c r="D3" s="14"/>
      <c r="E3" s="10"/>
      <c r="F3" s="10"/>
      <c r="G3" s="12"/>
      <c r="H3" s="12"/>
      <c r="I3" s="12"/>
      <c r="J3" s="12"/>
      <c r="K3" s="12"/>
      <c r="L3" s="12"/>
      <c r="M3" s="12"/>
      <c r="N3" s="12"/>
      <c r="O3" s="12"/>
    </row>
    <row r="4" customFormat="false" ht="15" hidden="false" customHeight="true" outlineLevel="0" collapsed="false">
      <c r="A4" s="10"/>
      <c r="B4" s="14"/>
      <c r="C4" s="14"/>
      <c r="D4" s="14"/>
      <c r="E4" s="10"/>
      <c r="F4" s="10"/>
      <c r="G4" s="12"/>
      <c r="H4" s="12"/>
      <c r="I4" s="12"/>
      <c r="J4" s="12"/>
      <c r="K4" s="12"/>
      <c r="L4" s="12"/>
      <c r="M4" s="12"/>
      <c r="N4" s="12"/>
      <c r="O4" s="12"/>
    </row>
    <row r="5" customFormat="false" ht="15.75" hidden="false" customHeight="true" outlineLevel="0" collapsed="false">
      <c r="A5" s="10"/>
      <c r="B5" s="14"/>
      <c r="C5" s="14"/>
      <c r="D5" s="14"/>
      <c r="E5" s="10"/>
      <c r="F5" s="10"/>
      <c r="G5" s="12"/>
      <c r="H5" s="12"/>
      <c r="I5" s="12"/>
      <c r="J5" s="12"/>
      <c r="K5" s="12"/>
      <c r="L5" s="12"/>
      <c r="M5" s="12"/>
      <c r="N5" s="12"/>
      <c r="O5" s="12"/>
    </row>
    <row r="6" customFormat="false" ht="15" hidden="false" customHeight="true" outlineLevel="0" collapsed="false">
      <c r="A6" s="10"/>
      <c r="B6" s="14"/>
      <c r="C6" s="14"/>
      <c r="D6" s="14"/>
      <c r="E6" s="10"/>
      <c r="F6" s="10"/>
      <c r="G6" s="12"/>
      <c r="H6" s="12"/>
      <c r="I6" s="12"/>
      <c r="J6" s="12"/>
      <c r="K6" s="12"/>
      <c r="L6" s="12"/>
      <c r="M6" s="12"/>
      <c r="N6" s="12"/>
      <c r="O6" s="12"/>
    </row>
    <row r="7" customFormat="false" ht="15" hidden="false" customHeight="true" outlineLevel="0" collapsed="false">
      <c r="A7" s="10"/>
      <c r="B7" s="15"/>
      <c r="C7" s="16"/>
      <c r="D7" s="17"/>
      <c r="E7" s="10"/>
      <c r="F7" s="10"/>
      <c r="G7" s="12"/>
      <c r="H7" s="12"/>
      <c r="I7" s="12"/>
      <c r="J7" s="12"/>
      <c r="K7" s="12"/>
      <c r="L7" s="12"/>
      <c r="M7" s="12"/>
      <c r="N7" s="12"/>
      <c r="O7" s="12"/>
    </row>
    <row r="8" customFormat="false" ht="15" hidden="false" customHeight="true" outlineLevel="0" collapsed="false">
      <c r="A8" s="10"/>
      <c r="B8" s="18" t="s">
        <v>6</v>
      </c>
      <c r="C8" s="19" t="s">
        <v>35</v>
      </c>
      <c r="D8" s="20" t="s">
        <v>2</v>
      </c>
      <c r="E8" s="10"/>
      <c r="F8" s="10"/>
      <c r="G8" s="12"/>
      <c r="H8" s="12"/>
      <c r="I8" s="12"/>
      <c r="J8" s="12"/>
      <c r="K8" s="12"/>
      <c r="L8" s="12"/>
      <c r="M8" s="12"/>
      <c r="N8" s="12"/>
      <c r="O8" s="12"/>
    </row>
    <row r="9" customFormat="false" ht="15" hidden="false" customHeight="true" outlineLevel="0" collapsed="false">
      <c r="A9" s="10"/>
      <c r="B9" s="21" t="s">
        <v>36</v>
      </c>
      <c r="C9" s="22" t="s">
        <v>37</v>
      </c>
      <c r="D9" s="23" t="s">
        <v>38</v>
      </c>
      <c r="E9" s="10"/>
      <c r="F9" s="10"/>
      <c r="G9" s="12"/>
      <c r="H9" s="12"/>
      <c r="I9" s="12"/>
      <c r="J9" s="12"/>
      <c r="K9" s="12"/>
      <c r="L9" s="12"/>
      <c r="M9" s="12"/>
      <c r="N9" s="12"/>
      <c r="O9" s="12"/>
    </row>
    <row r="10" customFormat="false" ht="15" hidden="false" customHeight="true" outlineLevel="0" collapsed="false">
      <c r="A10" s="10"/>
      <c r="B10" s="21"/>
      <c r="C10" s="22" t="s">
        <v>39</v>
      </c>
      <c r="D10" s="23" t="s">
        <v>40</v>
      </c>
      <c r="E10" s="10"/>
      <c r="F10" s="10"/>
      <c r="G10" s="12"/>
      <c r="H10" s="12"/>
      <c r="I10" s="12"/>
      <c r="J10" s="12"/>
      <c r="K10" s="12"/>
      <c r="L10" s="12"/>
      <c r="M10" s="12"/>
      <c r="N10" s="12"/>
      <c r="O10" s="12"/>
    </row>
    <row r="11" customFormat="false" ht="15" hidden="false" customHeight="true" outlineLevel="0" collapsed="false">
      <c r="A11" s="10"/>
      <c r="B11" s="21"/>
      <c r="C11" s="24" t="s">
        <v>41</v>
      </c>
      <c r="D11" s="25" t="s">
        <v>42</v>
      </c>
      <c r="E11" s="10"/>
      <c r="F11" s="10"/>
      <c r="G11" s="12"/>
      <c r="H11" s="12"/>
      <c r="I11" s="12"/>
      <c r="J11" s="12"/>
      <c r="K11" s="12"/>
      <c r="L11" s="12"/>
      <c r="M11" s="12"/>
      <c r="N11" s="12"/>
      <c r="O11" s="12"/>
    </row>
    <row r="12" s="9" customFormat="true" ht="15" hidden="false" customHeight="true" outlineLevel="0" collapsed="false">
      <c r="A12" s="11"/>
      <c r="B12" s="21"/>
      <c r="C12" s="26" t="s">
        <v>43</v>
      </c>
      <c r="D12" s="27" t="s">
        <v>44</v>
      </c>
      <c r="E12" s="11"/>
      <c r="F12" s="11"/>
      <c r="G12" s="28"/>
      <c r="H12" s="28"/>
      <c r="I12" s="28"/>
      <c r="J12" s="28"/>
      <c r="K12" s="28"/>
      <c r="L12" s="28"/>
      <c r="M12" s="28"/>
      <c r="N12" s="28"/>
      <c r="O12" s="28"/>
    </row>
    <row r="13" customFormat="false" ht="15" hidden="false" customHeight="true" outlineLevel="0" collapsed="false">
      <c r="A13" s="10"/>
      <c r="B13" s="29" t="s">
        <v>45</v>
      </c>
      <c r="C13" s="22" t="s">
        <v>46</v>
      </c>
      <c r="D13" s="27" t="s">
        <v>47</v>
      </c>
      <c r="E13" s="10"/>
      <c r="F13" s="10"/>
      <c r="G13" s="12"/>
      <c r="H13" s="12"/>
      <c r="I13" s="12"/>
      <c r="J13" s="12"/>
      <c r="K13" s="12"/>
      <c r="L13" s="12"/>
      <c r="M13" s="12"/>
      <c r="N13" s="12"/>
      <c r="O13" s="12"/>
    </row>
    <row r="14" customFormat="false" ht="15" hidden="false" customHeight="true" outlineLevel="0" collapsed="false">
      <c r="A14" s="10"/>
      <c r="B14" s="29"/>
      <c r="C14" s="22"/>
      <c r="D14" s="30" t="s">
        <v>48</v>
      </c>
      <c r="E14" s="10"/>
      <c r="F14" s="10"/>
      <c r="G14" s="12"/>
      <c r="H14" s="12"/>
      <c r="I14" s="12"/>
      <c r="J14" s="12"/>
      <c r="K14" s="12"/>
      <c r="L14" s="12"/>
      <c r="M14" s="12"/>
      <c r="N14" s="12"/>
      <c r="O14" s="12"/>
    </row>
    <row r="15" customFormat="false" ht="15" hidden="false" customHeight="true" outlineLevel="0" collapsed="false">
      <c r="A15" s="10"/>
      <c r="B15" s="29"/>
      <c r="C15" s="22"/>
      <c r="D15" s="30" t="s">
        <v>49</v>
      </c>
      <c r="E15" s="10"/>
      <c r="F15" s="10"/>
      <c r="G15" s="12"/>
      <c r="H15" s="12"/>
      <c r="I15" s="12"/>
      <c r="J15" s="12"/>
      <c r="K15" s="12"/>
      <c r="L15" s="12"/>
      <c r="M15" s="12"/>
      <c r="N15" s="12"/>
      <c r="O15" s="12"/>
    </row>
    <row r="16" customFormat="false" ht="15" hidden="false" customHeight="true" outlineLevel="0" collapsed="false">
      <c r="A16" s="10"/>
      <c r="B16" s="29"/>
      <c r="C16" s="22"/>
      <c r="D16" s="31" t="s">
        <v>50</v>
      </c>
      <c r="E16" s="10"/>
      <c r="F16" s="10"/>
      <c r="G16" s="12"/>
      <c r="H16" s="12"/>
      <c r="I16" s="12"/>
      <c r="J16" s="12"/>
      <c r="K16" s="12"/>
      <c r="L16" s="12"/>
      <c r="M16" s="12"/>
      <c r="N16" s="12"/>
      <c r="O16" s="12"/>
    </row>
    <row r="17" customFormat="false" ht="15" hidden="false" customHeight="true" outlineLevel="0" collapsed="false">
      <c r="A17" s="10"/>
      <c r="B17" s="29"/>
      <c r="C17" s="32" t="s">
        <v>51</v>
      </c>
      <c r="D17" s="25" t="s">
        <v>52</v>
      </c>
      <c r="E17" s="10"/>
      <c r="F17" s="10"/>
      <c r="G17" s="12"/>
      <c r="H17" s="12"/>
      <c r="I17" s="12"/>
      <c r="J17" s="12"/>
      <c r="K17" s="12"/>
      <c r="L17" s="12"/>
      <c r="M17" s="12"/>
      <c r="N17" s="12"/>
      <c r="O17" s="12"/>
    </row>
    <row r="18" customFormat="false" ht="25.5" hidden="false" customHeight="true" outlineLevel="0" collapsed="false">
      <c r="A18" s="10"/>
      <c r="B18" s="29"/>
      <c r="C18" s="22" t="s">
        <v>53</v>
      </c>
      <c r="D18" s="27" t="s">
        <v>54</v>
      </c>
      <c r="E18" s="10"/>
      <c r="F18" s="10"/>
      <c r="G18" s="12"/>
      <c r="H18" s="12"/>
      <c r="I18" s="12"/>
      <c r="J18" s="12"/>
      <c r="K18" s="12"/>
      <c r="L18" s="12"/>
      <c r="M18" s="12"/>
      <c r="N18" s="12"/>
      <c r="O18" s="12"/>
    </row>
    <row r="19" customFormat="false" ht="15" hidden="false" customHeight="true" outlineLevel="0" collapsed="false">
      <c r="A19" s="10"/>
      <c r="B19" s="29"/>
      <c r="C19" s="22"/>
      <c r="D19" s="30" t="s">
        <v>55</v>
      </c>
      <c r="E19" s="10"/>
      <c r="F19" s="10"/>
      <c r="G19" s="12"/>
      <c r="H19" s="12"/>
      <c r="I19" s="12"/>
      <c r="J19" s="12"/>
      <c r="K19" s="12"/>
      <c r="L19" s="12"/>
      <c r="M19" s="12"/>
      <c r="N19" s="12"/>
      <c r="O19" s="12"/>
    </row>
    <row r="20" customFormat="false" ht="23.25" hidden="false" customHeight="true" outlineLevel="0" collapsed="false">
      <c r="A20" s="10"/>
      <c r="B20" s="29"/>
      <c r="C20" s="22"/>
      <c r="D20" s="31" t="s">
        <v>56</v>
      </c>
      <c r="E20" s="10"/>
      <c r="F20" s="10"/>
      <c r="G20" s="12"/>
      <c r="H20" s="12"/>
      <c r="I20" s="12"/>
      <c r="J20" s="12"/>
      <c r="K20" s="12"/>
      <c r="L20" s="12"/>
      <c r="M20" s="12"/>
      <c r="N20" s="12"/>
      <c r="O20" s="12"/>
    </row>
    <row r="21" customFormat="false" ht="23.25" hidden="false" customHeight="true" outlineLevel="0" collapsed="false">
      <c r="A21" s="10"/>
      <c r="B21" s="21" t="s">
        <v>57</v>
      </c>
      <c r="C21" s="33" t="s">
        <v>58</v>
      </c>
      <c r="D21" s="34" t="s">
        <v>59</v>
      </c>
      <c r="E21" s="10"/>
      <c r="F21" s="10"/>
      <c r="G21" s="12"/>
      <c r="H21" s="12"/>
      <c r="I21" s="12"/>
      <c r="J21" s="12"/>
      <c r="K21" s="12"/>
      <c r="L21" s="12"/>
      <c r="M21" s="12"/>
      <c r="N21" s="12"/>
      <c r="O21" s="12"/>
    </row>
    <row r="22" customFormat="false" ht="23.25" hidden="false" customHeight="true" outlineLevel="0" collapsed="false">
      <c r="A22" s="10"/>
      <c r="B22" s="21" t="s">
        <v>60</v>
      </c>
      <c r="C22" s="33" t="s">
        <v>58</v>
      </c>
      <c r="D22" s="34" t="s">
        <v>61</v>
      </c>
      <c r="E22" s="10"/>
      <c r="F22" s="10"/>
      <c r="G22" s="12"/>
      <c r="H22" s="12"/>
      <c r="I22" s="12"/>
      <c r="J22" s="12"/>
      <c r="K22" s="12"/>
      <c r="L22" s="12"/>
      <c r="M22" s="12"/>
      <c r="N22" s="12"/>
      <c r="O22" s="12"/>
    </row>
    <row r="23" customFormat="false" ht="23.25" hidden="false" customHeight="true" outlineLevel="0" collapsed="false">
      <c r="A23" s="10"/>
      <c r="B23" s="21" t="s">
        <v>62</v>
      </c>
      <c r="C23" s="33" t="s">
        <v>58</v>
      </c>
      <c r="D23" s="35" t="s">
        <v>63</v>
      </c>
      <c r="E23" s="10"/>
      <c r="F23" s="10"/>
      <c r="G23" s="12"/>
      <c r="H23" s="12"/>
      <c r="I23" s="12"/>
      <c r="J23" s="12"/>
      <c r="K23" s="12"/>
      <c r="L23" s="12"/>
      <c r="M23" s="12"/>
      <c r="N23" s="12"/>
      <c r="O23" s="12"/>
    </row>
    <row r="24" customFormat="false" ht="23.25" hidden="false" customHeight="true" outlineLevel="0" collapsed="false">
      <c r="A24" s="10"/>
      <c r="B24" s="36" t="s">
        <v>23</v>
      </c>
      <c r="C24" s="33" t="s">
        <v>64</v>
      </c>
      <c r="D24" s="35" t="s">
        <v>65</v>
      </c>
      <c r="E24" s="10"/>
      <c r="F24" s="10"/>
      <c r="G24" s="12"/>
      <c r="H24" s="12"/>
      <c r="I24" s="12"/>
      <c r="J24" s="12"/>
      <c r="K24" s="12"/>
      <c r="L24" s="12"/>
      <c r="M24" s="12"/>
      <c r="N24" s="12"/>
      <c r="O24" s="12"/>
    </row>
    <row r="25" customFormat="false" ht="23.25" hidden="false" customHeight="true" outlineLevel="0" collapsed="false">
      <c r="A25" s="10"/>
      <c r="B25" s="36" t="s">
        <v>66</v>
      </c>
      <c r="C25" s="37" t="s">
        <v>67</v>
      </c>
      <c r="D25" s="37"/>
      <c r="E25" s="10"/>
      <c r="F25" s="10"/>
      <c r="G25" s="12"/>
      <c r="H25" s="12"/>
      <c r="I25" s="12"/>
      <c r="J25" s="12"/>
      <c r="K25" s="12"/>
      <c r="L25" s="12"/>
      <c r="M25" s="12"/>
      <c r="N25" s="12"/>
      <c r="O25" s="12"/>
    </row>
    <row r="26" customFormat="false" ht="15" hidden="false" customHeight="true" outlineLevel="0" collapsed="false">
      <c r="A26" s="12"/>
      <c r="B26" s="12"/>
      <c r="C26" s="28"/>
      <c r="D26" s="28"/>
      <c r="E26" s="12"/>
      <c r="F26" s="12"/>
      <c r="G26" s="12"/>
      <c r="H26" s="12"/>
      <c r="I26" s="12"/>
      <c r="J26" s="12"/>
      <c r="K26" s="12"/>
      <c r="L26" s="12"/>
      <c r="M26" s="12"/>
      <c r="N26" s="12"/>
      <c r="O26" s="12"/>
    </row>
    <row r="27" customFormat="false" ht="15" hidden="false" customHeight="true" outlineLevel="0" collapsed="false">
      <c r="A27" s="12"/>
      <c r="B27" s="12"/>
      <c r="C27" s="28"/>
      <c r="D27" s="28"/>
      <c r="E27" s="12"/>
      <c r="F27" s="12"/>
      <c r="G27" s="12"/>
      <c r="H27" s="12"/>
      <c r="I27" s="12"/>
      <c r="J27" s="12"/>
      <c r="K27" s="12"/>
      <c r="L27" s="12"/>
      <c r="M27" s="12"/>
      <c r="N27" s="12"/>
      <c r="O27" s="12"/>
    </row>
    <row r="28" customFormat="false" ht="15" hidden="false" customHeight="true" outlineLevel="0" collapsed="false">
      <c r="A28" s="12"/>
      <c r="B28" s="12"/>
      <c r="C28" s="28"/>
      <c r="D28" s="28"/>
      <c r="E28" s="12"/>
      <c r="F28" s="12"/>
      <c r="G28" s="12"/>
      <c r="H28" s="12"/>
      <c r="I28" s="12"/>
      <c r="J28" s="12"/>
      <c r="K28" s="12"/>
      <c r="L28" s="12"/>
      <c r="M28" s="12"/>
      <c r="N28" s="12"/>
      <c r="O28" s="12"/>
    </row>
    <row r="29" customFormat="false" ht="15" hidden="false" customHeight="true" outlineLevel="0" collapsed="false">
      <c r="A29" s="12"/>
      <c r="B29" s="12"/>
      <c r="C29" s="28"/>
      <c r="D29" s="28"/>
      <c r="E29" s="12"/>
      <c r="F29" s="12"/>
      <c r="G29" s="12"/>
      <c r="H29" s="12"/>
      <c r="I29" s="12"/>
      <c r="J29" s="12"/>
      <c r="K29" s="12"/>
      <c r="L29" s="12"/>
      <c r="M29" s="12"/>
      <c r="N29" s="12"/>
      <c r="O29" s="12"/>
    </row>
    <row r="30" customFormat="false" ht="15" hidden="false" customHeight="true" outlineLevel="0" collapsed="false">
      <c r="A30" s="12"/>
      <c r="B30" s="12"/>
      <c r="C30" s="28"/>
      <c r="D30" s="28"/>
      <c r="E30" s="12"/>
      <c r="F30" s="12"/>
      <c r="G30" s="12"/>
      <c r="H30" s="12"/>
      <c r="I30" s="12"/>
      <c r="J30" s="12"/>
      <c r="K30" s="12"/>
      <c r="L30" s="12"/>
      <c r="M30" s="12"/>
      <c r="N30" s="12"/>
      <c r="O30" s="12"/>
    </row>
    <row r="31" customFormat="false" ht="15" hidden="false" customHeight="true" outlineLevel="0" collapsed="false">
      <c r="A31" s="12"/>
      <c r="B31" s="12"/>
      <c r="C31" s="28"/>
      <c r="D31" s="28"/>
      <c r="E31" s="12"/>
      <c r="F31" s="12"/>
      <c r="G31" s="12"/>
      <c r="H31" s="12"/>
      <c r="I31" s="12"/>
      <c r="J31" s="12"/>
      <c r="K31" s="12"/>
      <c r="L31" s="12"/>
      <c r="M31" s="12"/>
      <c r="N31" s="12"/>
      <c r="O31" s="12"/>
    </row>
    <row r="32" customFormat="false" ht="15" hidden="false" customHeight="true" outlineLevel="0" collapsed="false">
      <c r="A32" s="12"/>
      <c r="B32" s="12"/>
      <c r="C32" s="28"/>
      <c r="D32" s="28"/>
      <c r="E32" s="12"/>
      <c r="F32" s="12"/>
      <c r="G32" s="12"/>
      <c r="H32" s="12"/>
      <c r="I32" s="12"/>
      <c r="J32" s="12"/>
      <c r="K32" s="12"/>
      <c r="L32" s="12"/>
      <c r="M32" s="12"/>
      <c r="N32" s="12"/>
      <c r="O32" s="12"/>
    </row>
    <row r="33" customFormat="false" ht="15" hidden="false" customHeight="true" outlineLevel="0" collapsed="false">
      <c r="A33" s="12"/>
      <c r="B33" s="12"/>
      <c r="C33" s="28"/>
      <c r="D33" s="28"/>
      <c r="E33" s="12"/>
      <c r="F33" s="12"/>
      <c r="G33" s="12"/>
      <c r="H33" s="12"/>
      <c r="I33" s="12"/>
      <c r="J33" s="12"/>
      <c r="K33" s="12"/>
      <c r="L33" s="12"/>
      <c r="M33" s="12"/>
      <c r="N33" s="12"/>
      <c r="O33" s="12"/>
    </row>
    <row r="34" customFormat="false" ht="15" hidden="false" customHeight="true" outlineLevel="0" collapsed="false">
      <c r="A34" s="12"/>
      <c r="B34" s="12"/>
      <c r="C34" s="28"/>
      <c r="D34" s="28"/>
      <c r="E34" s="12"/>
      <c r="F34" s="12"/>
      <c r="G34" s="12"/>
      <c r="H34" s="12"/>
      <c r="I34" s="12"/>
      <c r="J34" s="12"/>
      <c r="K34" s="12"/>
      <c r="L34" s="12"/>
      <c r="M34" s="12"/>
      <c r="N34" s="12"/>
      <c r="O34" s="12"/>
    </row>
    <row r="35" customFormat="false" ht="15" hidden="false" customHeight="true" outlineLevel="0" collapsed="false">
      <c r="A35" s="12"/>
      <c r="B35" s="12"/>
      <c r="C35" s="28"/>
      <c r="D35" s="28"/>
      <c r="E35" s="12"/>
      <c r="F35" s="12"/>
      <c r="G35" s="12"/>
      <c r="H35" s="12"/>
      <c r="I35" s="12"/>
      <c r="J35" s="12"/>
      <c r="K35" s="12"/>
      <c r="L35" s="12"/>
      <c r="M35" s="12"/>
      <c r="N35" s="12"/>
      <c r="O35" s="12"/>
    </row>
    <row r="36" customFormat="false" ht="15" hidden="false" customHeight="true" outlineLevel="0" collapsed="false">
      <c r="A36" s="12"/>
      <c r="B36" s="12"/>
      <c r="C36" s="28"/>
      <c r="D36" s="28"/>
      <c r="E36" s="12"/>
      <c r="F36" s="12"/>
      <c r="G36" s="12"/>
      <c r="H36" s="12"/>
      <c r="I36" s="12"/>
      <c r="J36" s="12"/>
      <c r="K36" s="12"/>
      <c r="L36" s="12"/>
      <c r="M36" s="12"/>
      <c r="N36" s="12"/>
      <c r="O36" s="12"/>
    </row>
    <row r="37" customFormat="false" ht="15" hidden="false" customHeight="true" outlineLevel="0" collapsed="false">
      <c r="I37" s="12"/>
      <c r="J37" s="12"/>
      <c r="K37" s="12"/>
      <c r="L37" s="12"/>
      <c r="M37" s="12"/>
      <c r="N37" s="12"/>
      <c r="O37" s="12"/>
    </row>
  </sheetData>
  <sheetProtection algorithmName="SHA-512" hashValue="GyfEdTASFW+vd8N+dEeb8c2gmSkfHtFphujzrJ4Fm+DbOZDCY9wSeCmNnCwbm1NGQl9OBlLWmLO3qTnv9qEYig==" saltValue="sgd3VgRU7k/H8LGjUHkxiA==" spinCount="100000" sheet="true" objects="true" scenarios="true"/>
  <mergeCells count="7">
    <mergeCell ref="B2:D2"/>
    <mergeCell ref="B3:D6"/>
    <mergeCell ref="B9:B12"/>
    <mergeCell ref="B13:B20"/>
    <mergeCell ref="C13:C16"/>
    <mergeCell ref="C18:C20"/>
    <mergeCell ref="C25:D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I20" activeCellId="0" sqref="I20"/>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59.71"/>
    <col collapsed="false" customWidth="false" hidden="false" outlineLevel="0" max="16384" min="12" style="38" width="9"/>
  </cols>
  <sheetData>
    <row r="1" s="44" customFormat="true" ht="24" hidden="false" customHeight="true" outlineLevel="0" collapsed="false">
      <c r="A1" s="40" t="s">
        <v>68</v>
      </c>
      <c r="B1" s="40"/>
      <c r="C1" s="40"/>
      <c r="D1" s="40"/>
      <c r="E1" s="40"/>
      <c r="F1" s="40"/>
      <c r="G1" s="40"/>
      <c r="H1" s="40"/>
      <c r="I1" s="40"/>
      <c r="J1" s="40"/>
      <c r="K1" s="41"/>
      <c r="L1" s="41"/>
      <c r="M1" s="41"/>
      <c r="N1" s="41"/>
      <c r="O1" s="41"/>
      <c r="P1" s="41"/>
      <c r="Q1" s="41"/>
      <c r="R1" s="42"/>
      <c r="S1" s="42"/>
      <c r="T1" s="43"/>
      <c r="U1" s="43"/>
      <c r="V1" s="43"/>
      <c r="W1" s="43"/>
    </row>
    <row r="2" customFormat="false" ht="15" hidden="false" customHeight="true" outlineLevel="0" collapsed="false">
      <c r="B2" s="45" t="s">
        <v>69</v>
      </c>
      <c r="C2" s="45" t="s">
        <v>39</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47" t="s">
        <v>78</v>
      </c>
      <c r="D3" s="48" t="n">
        <v>15500</v>
      </c>
      <c r="E3" s="49" t="n">
        <f aca="false">D3*(1+I3)</f>
        <v>16275</v>
      </c>
      <c r="F3" s="49" t="n">
        <f aca="false">E3*(1+$I$3)</f>
        <v>17088.75</v>
      </c>
      <c r="G3" s="49" t="n">
        <f aca="false">F3*(1+$I$3)</f>
        <v>17943.1875</v>
      </c>
      <c r="H3" s="49" t="n">
        <f aca="false">G3*(1+$I$3)</f>
        <v>18840.346875</v>
      </c>
      <c r="I3" s="50" t="n">
        <v>0.05</v>
      </c>
      <c r="J3" s="51" t="s">
        <v>79</v>
      </c>
      <c r="K3" s="52"/>
    </row>
    <row r="4" customFormat="false" ht="15" hidden="false" customHeight="true" outlineLevel="0" collapsed="false">
      <c r="B4" s="46" t="n">
        <v>2</v>
      </c>
      <c r="C4" s="47" t="s">
        <v>80</v>
      </c>
      <c r="D4" s="48" t="n">
        <v>4650</v>
      </c>
      <c r="E4" s="53" t="n">
        <f aca="false">E3*0.3</f>
        <v>4882.5</v>
      </c>
      <c r="F4" s="53" t="n">
        <f aca="false">F3*0.3</f>
        <v>5126.625</v>
      </c>
      <c r="G4" s="53" t="n">
        <f aca="false">G3*0.3</f>
        <v>5382.95625</v>
      </c>
      <c r="H4" s="53" t="n">
        <f aca="false">H3*0.3</f>
        <v>5652.1040625</v>
      </c>
      <c r="I4" s="50" t="n">
        <v>0.05</v>
      </c>
      <c r="J4" s="51" t="s">
        <v>79</v>
      </c>
      <c r="K4" s="52"/>
    </row>
    <row r="5" customFormat="false" ht="15" hidden="false" customHeight="true" outlineLevel="0" collapsed="false">
      <c r="B5" s="46" t="n">
        <v>3</v>
      </c>
      <c r="C5" s="54" t="s">
        <v>81</v>
      </c>
      <c r="D5" s="55" t="n">
        <v>25786541</v>
      </c>
      <c r="E5" s="56" t="n">
        <f aca="false">D5*(1+I5)</f>
        <v>28365195.1</v>
      </c>
      <c r="F5" s="56" t="n">
        <f aca="false">E5*(1+I5)</f>
        <v>31201714.61</v>
      </c>
      <c r="G5" s="56" t="n">
        <f aca="false">F5*(1+I5)</f>
        <v>34321886.071</v>
      </c>
      <c r="H5" s="56" t="n">
        <f aca="false">G5*(1+I5)</f>
        <v>37754074.6781</v>
      </c>
      <c r="I5" s="50" t="n">
        <v>0.1</v>
      </c>
      <c r="J5" s="51" t="s">
        <v>79</v>
      </c>
      <c r="K5" s="52"/>
    </row>
    <row r="6" customFormat="false" ht="15" hidden="false" customHeight="true" outlineLevel="0" collapsed="false">
      <c r="B6" s="46" t="n">
        <v>4</v>
      </c>
      <c r="C6" s="57" t="s">
        <v>82</v>
      </c>
      <c r="D6" s="48" t="n">
        <v>2</v>
      </c>
      <c r="E6" s="53" t="n">
        <v>2</v>
      </c>
      <c r="F6" s="53" t="n">
        <v>2</v>
      </c>
      <c r="G6" s="53" t="n">
        <v>2</v>
      </c>
      <c r="H6" s="53" t="n">
        <v>2</v>
      </c>
      <c r="I6" s="50"/>
      <c r="J6" s="51" t="s">
        <v>79</v>
      </c>
      <c r="K6" s="52" t="s">
        <v>83</v>
      </c>
    </row>
    <row r="7" customFormat="false" ht="15" hidden="false" customHeight="true" outlineLevel="0" collapsed="false">
      <c r="B7" s="46" t="n">
        <v>5</v>
      </c>
      <c r="C7" s="47" t="s">
        <v>84</v>
      </c>
      <c r="D7" s="48" t="n">
        <v>10700000</v>
      </c>
      <c r="E7" s="53" t="n">
        <f aca="false">D7*(1+I7)</f>
        <v>11770000</v>
      </c>
      <c r="F7" s="53" t="n">
        <f aca="false">E7*(1+I7)</f>
        <v>12947000</v>
      </c>
      <c r="G7" s="53" t="n">
        <f aca="false">F7*(1+I7)</f>
        <v>14241700</v>
      </c>
      <c r="H7" s="53" t="n">
        <f aca="false">G7*(1+I7)</f>
        <v>15665870</v>
      </c>
      <c r="I7" s="50" t="n">
        <v>0.1</v>
      </c>
      <c r="J7" s="51" t="s">
        <v>79</v>
      </c>
      <c r="K7" s="52"/>
    </row>
    <row r="8" customFormat="false" ht="15" hidden="false" customHeight="true" outlineLevel="0" collapsed="false">
      <c r="B8" s="46" t="n">
        <v>6</v>
      </c>
      <c r="C8" s="47" t="s">
        <v>85</v>
      </c>
      <c r="D8" s="48" t="n">
        <v>2</v>
      </c>
      <c r="E8" s="53" t="n">
        <v>2</v>
      </c>
      <c r="F8" s="53" t="n">
        <v>2</v>
      </c>
      <c r="G8" s="53" t="n">
        <v>2</v>
      </c>
      <c r="H8" s="53" t="n">
        <v>2</v>
      </c>
      <c r="I8" s="50"/>
      <c r="J8" s="51" t="s">
        <v>79</v>
      </c>
      <c r="K8" s="52" t="s">
        <v>86</v>
      </c>
    </row>
    <row r="9" customFormat="false" ht="15" hidden="false" customHeight="true" outlineLevel="0" collapsed="false">
      <c r="B9" s="46" t="n">
        <v>7</v>
      </c>
      <c r="C9" s="47" t="s">
        <v>87</v>
      </c>
      <c r="D9" s="58" t="n">
        <v>20000</v>
      </c>
      <c r="E9" s="59" t="n">
        <f aca="false">D9*(1+I9)</f>
        <v>21000</v>
      </c>
      <c r="F9" s="59" t="n">
        <f aca="false">E9*(1+I9)</f>
        <v>22050</v>
      </c>
      <c r="G9" s="59" t="n">
        <f aca="false">F9*(1+I9)</f>
        <v>23152.5</v>
      </c>
      <c r="H9" s="59" t="n">
        <f aca="false">G9*(1+I9)</f>
        <v>24310.125</v>
      </c>
      <c r="I9" s="50" t="n">
        <v>0.05</v>
      </c>
      <c r="J9" s="51" t="s">
        <v>79</v>
      </c>
      <c r="K9" s="52"/>
    </row>
    <row r="10" customFormat="false" ht="23.25" hidden="false" customHeight="true" outlineLevel="0" collapsed="false">
      <c r="B10" s="46" t="n">
        <v>8</v>
      </c>
      <c r="C10" s="47" t="s">
        <v>88</v>
      </c>
      <c r="D10" s="48" t="n">
        <v>2</v>
      </c>
      <c r="E10" s="53" t="n">
        <v>2</v>
      </c>
      <c r="F10" s="53" t="n">
        <v>2</v>
      </c>
      <c r="G10" s="53" t="n">
        <v>2</v>
      </c>
      <c r="H10" s="53" t="n">
        <v>2</v>
      </c>
      <c r="I10" s="53"/>
      <c r="J10" s="51" t="s">
        <v>79</v>
      </c>
      <c r="K10" s="52" t="s">
        <v>89</v>
      </c>
    </row>
    <row r="11" customFormat="false" ht="15" hidden="false" customHeight="true" outlineLevel="0" collapsed="false">
      <c r="B11" s="46" t="n">
        <v>9</v>
      </c>
      <c r="C11" s="47" t="s">
        <v>90</v>
      </c>
      <c r="D11" s="60" t="n">
        <v>50</v>
      </c>
      <c r="E11" s="61" t="n">
        <v>50</v>
      </c>
      <c r="F11" s="61" t="n">
        <v>50</v>
      </c>
      <c r="G11" s="61" t="n">
        <v>50</v>
      </c>
      <c r="H11" s="61" t="n">
        <v>50</v>
      </c>
      <c r="I11" s="50"/>
      <c r="J11" s="51" t="s">
        <v>79</v>
      </c>
      <c r="K11" s="52" t="s">
        <v>91</v>
      </c>
    </row>
    <row r="12" customFormat="false" ht="15" hidden="false" customHeight="true" outlineLevel="0" collapsed="false">
      <c r="B12" s="46" t="n">
        <v>10</v>
      </c>
      <c r="C12" s="47" t="s">
        <v>92</v>
      </c>
      <c r="D12" s="60" t="n">
        <v>1</v>
      </c>
      <c r="E12" s="61" t="n">
        <v>1</v>
      </c>
      <c r="F12" s="61" t="n">
        <v>1</v>
      </c>
      <c r="G12" s="61" t="n">
        <v>1</v>
      </c>
      <c r="H12" s="61" t="n">
        <v>1</v>
      </c>
      <c r="I12" s="50"/>
      <c r="J12" s="51" t="s">
        <v>79</v>
      </c>
      <c r="K12" s="52" t="s">
        <v>93</v>
      </c>
    </row>
    <row r="13" customFormat="false" ht="15" hidden="false" customHeight="true" outlineLevel="0" collapsed="false">
      <c r="B13" s="46" t="n">
        <v>11</v>
      </c>
      <c r="C13" s="47" t="s">
        <v>94</v>
      </c>
      <c r="D13" s="60" t="n">
        <v>4050</v>
      </c>
      <c r="E13" s="61" t="n">
        <f aca="false">D13*(1+I13)</f>
        <v>4252.5</v>
      </c>
      <c r="F13" s="61" t="n">
        <f aca="false">E13*(1+I13)</f>
        <v>4465.125</v>
      </c>
      <c r="G13" s="61" t="n">
        <f aca="false">F13*(1+I13)</f>
        <v>4688.38125</v>
      </c>
      <c r="H13" s="61" t="n">
        <f aca="false">G13*(1+I13)</f>
        <v>4922.8003125</v>
      </c>
      <c r="I13" s="50" t="n">
        <v>0.05</v>
      </c>
      <c r="J13" s="51" t="s">
        <v>79</v>
      </c>
      <c r="K13" s="52"/>
    </row>
    <row r="14" customFormat="false" ht="15" hidden="false" customHeight="true" outlineLevel="0" collapsed="false">
      <c r="B14" s="46" t="n">
        <v>12</v>
      </c>
      <c r="C14" s="47" t="s">
        <v>95</v>
      </c>
      <c r="D14" s="60" t="n">
        <v>2</v>
      </c>
      <c r="E14" s="61" t="n">
        <v>2</v>
      </c>
      <c r="F14" s="61" t="n">
        <v>2</v>
      </c>
      <c r="G14" s="61" t="n">
        <v>2</v>
      </c>
      <c r="H14" s="61" t="n">
        <v>2</v>
      </c>
      <c r="I14" s="50"/>
      <c r="J14" s="51" t="s">
        <v>79</v>
      </c>
      <c r="K14" s="52" t="s">
        <v>96</v>
      </c>
    </row>
    <row r="15" customFormat="false" ht="15" hidden="false" customHeight="true" outlineLevel="0" collapsed="false">
      <c r="B15" s="46" t="n">
        <v>13</v>
      </c>
      <c r="C15" s="47" t="s">
        <v>97</v>
      </c>
      <c r="D15" s="60" t="n">
        <v>2</v>
      </c>
      <c r="E15" s="61" t="n">
        <v>2</v>
      </c>
      <c r="F15" s="61" t="n">
        <v>2</v>
      </c>
      <c r="G15" s="61" t="n">
        <v>2</v>
      </c>
      <c r="H15" s="61" t="n">
        <v>2</v>
      </c>
      <c r="I15" s="53"/>
      <c r="J15" s="51" t="s">
        <v>79</v>
      </c>
      <c r="K15" s="52" t="s">
        <v>98</v>
      </c>
    </row>
    <row r="16" customFormat="false" ht="15" hidden="false" customHeight="true" outlineLevel="0" collapsed="false">
      <c r="B16" s="46" t="n">
        <v>14</v>
      </c>
      <c r="C16" s="47" t="s">
        <v>99</v>
      </c>
      <c r="D16" s="60" t="n">
        <v>1</v>
      </c>
      <c r="E16" s="61" t="n">
        <v>1</v>
      </c>
      <c r="F16" s="61" t="n">
        <v>1</v>
      </c>
      <c r="G16" s="61" t="n">
        <v>1</v>
      </c>
      <c r="H16" s="61" t="n">
        <v>1</v>
      </c>
      <c r="I16" s="50"/>
      <c r="J16" s="51" t="s">
        <v>79</v>
      </c>
      <c r="K16" s="52" t="s">
        <v>100</v>
      </c>
    </row>
    <row r="17" customFormat="false" ht="15" hidden="false" customHeight="true" outlineLevel="0" collapsed="false">
      <c r="B17" s="46" t="n">
        <v>15</v>
      </c>
      <c r="C17" s="47" t="s">
        <v>101</v>
      </c>
      <c r="D17" s="60" t="n">
        <f aca="false">SUM(D14:D16)</f>
        <v>5</v>
      </c>
      <c r="E17" s="61" t="n">
        <f aca="false">SUM(E14:E16)</f>
        <v>5</v>
      </c>
      <c r="F17" s="61" t="n">
        <f aca="false">SUM(F14:F16)</f>
        <v>5</v>
      </c>
      <c r="G17" s="61" t="n">
        <f aca="false">SUM(G14:G16)</f>
        <v>5</v>
      </c>
      <c r="H17" s="61" t="n">
        <f aca="false">SUM(H14:H16)</f>
        <v>5</v>
      </c>
      <c r="I17" s="50"/>
      <c r="J17" s="51" t="s">
        <v>102</v>
      </c>
      <c r="K17" s="62" t="s">
        <v>103</v>
      </c>
    </row>
    <row r="18" customFormat="false" ht="15" hidden="false" customHeight="true" outlineLevel="0" collapsed="false">
      <c r="B18" s="46" t="n">
        <v>16</v>
      </c>
      <c r="C18" s="47" t="s">
        <v>104</v>
      </c>
      <c r="D18" s="60" t="s">
        <v>105</v>
      </c>
      <c r="E18" s="61" t="s">
        <v>105</v>
      </c>
      <c r="F18" s="61" t="s">
        <v>105</v>
      </c>
      <c r="G18" s="61" t="s">
        <v>105</v>
      </c>
      <c r="H18" s="61" t="s">
        <v>105</v>
      </c>
      <c r="I18" s="50"/>
      <c r="J18" s="51" t="s">
        <v>106</v>
      </c>
      <c r="K18" s="62" t="s">
        <v>107</v>
      </c>
    </row>
    <row r="19" customFormat="false" ht="15" hidden="false" customHeight="true" outlineLevel="0" collapsed="false">
      <c r="B19" s="46" t="n">
        <v>17</v>
      </c>
      <c r="C19" s="47" t="s">
        <v>108</v>
      </c>
      <c r="D19" s="60" t="n">
        <v>1</v>
      </c>
      <c r="E19" s="61" t="n">
        <v>1</v>
      </c>
      <c r="F19" s="61" t="n">
        <v>1</v>
      </c>
      <c r="G19" s="61" t="n">
        <v>1</v>
      </c>
      <c r="H19" s="61" t="n">
        <v>1</v>
      </c>
      <c r="I19" s="50"/>
      <c r="J19" s="51" t="s">
        <v>102</v>
      </c>
      <c r="K19" s="62" t="s">
        <v>109</v>
      </c>
    </row>
    <row r="20" customFormat="false" ht="15" hidden="false" customHeight="true" outlineLevel="0" collapsed="false">
      <c r="B20" s="46" t="n">
        <v>18</v>
      </c>
      <c r="C20" s="47" t="s">
        <v>110</v>
      </c>
      <c r="D20" s="60" t="s">
        <v>111</v>
      </c>
      <c r="E20" s="61" t="s">
        <v>111</v>
      </c>
      <c r="F20" s="61" t="s">
        <v>111</v>
      </c>
      <c r="G20" s="61" t="s">
        <v>111</v>
      </c>
      <c r="H20" s="61" t="s">
        <v>111</v>
      </c>
      <c r="I20" s="61"/>
      <c r="J20" s="63" t="s">
        <v>106</v>
      </c>
      <c r="K20" s="62" t="s">
        <v>107</v>
      </c>
    </row>
    <row r="21" customFormat="false" ht="15" hidden="false" customHeight="true" outlineLevel="0" collapsed="false">
      <c r="B21" s="46" t="n">
        <v>19</v>
      </c>
      <c r="C21" s="47" t="s">
        <v>112</v>
      </c>
      <c r="D21" s="60" t="n">
        <f aca="false">0.05*(D7+D9)</f>
        <v>536000</v>
      </c>
      <c r="E21" s="61" t="n">
        <f aca="false">0.05*(E7+E9)</f>
        <v>589550</v>
      </c>
      <c r="F21" s="61" t="n">
        <f aca="false">0.05*(F7+F9)</f>
        <v>648452.5</v>
      </c>
      <c r="G21" s="61" t="n">
        <f aca="false">0.05*(G7+G9)</f>
        <v>713242.625</v>
      </c>
      <c r="H21" s="61" t="n">
        <f aca="false">0.05*(H7+H9)</f>
        <v>784509.00625</v>
      </c>
      <c r="I21" s="61"/>
      <c r="J21" s="63" t="s">
        <v>102</v>
      </c>
      <c r="K21" s="62" t="s">
        <v>113</v>
      </c>
    </row>
    <row r="22" customFormat="false" ht="15" hidden="false" customHeight="true" outlineLevel="0" collapsed="false">
      <c r="B22" s="46" t="n">
        <v>20</v>
      </c>
      <c r="C22" s="47" t="s">
        <v>114</v>
      </c>
      <c r="D22" s="60" t="n">
        <f aca="false">0.1*(D5+D7+D9)</f>
        <v>3650654.1</v>
      </c>
      <c r="E22" s="61" t="n">
        <f aca="false">0.1*(E5+E7+E9)</f>
        <v>4015619.51</v>
      </c>
      <c r="F22" s="61" t="n">
        <f aca="false">0.1*(F5+F7+F9)</f>
        <v>4417076.461</v>
      </c>
      <c r="G22" s="61" t="n">
        <f aca="false">0.1*(G5+G7+G9)</f>
        <v>4858673.8571</v>
      </c>
      <c r="H22" s="61" t="n">
        <f aca="false">0.1*(H5+H7+H9)</f>
        <v>5344425.48031</v>
      </c>
      <c r="I22" s="61"/>
      <c r="J22" s="63" t="s">
        <v>102</v>
      </c>
      <c r="K22" s="62" t="s">
        <v>115</v>
      </c>
    </row>
    <row r="23" customFormat="false" ht="15" hidden="false" customHeight="true" outlineLevel="0" collapsed="false">
      <c r="B23" s="46" t="n">
        <v>21</v>
      </c>
      <c r="C23" s="47" t="s">
        <v>116</v>
      </c>
      <c r="D23" s="60" t="n">
        <f aca="false">0.1*(D5+D7+D9)</f>
        <v>3650654.1</v>
      </c>
      <c r="E23" s="61" t="n">
        <f aca="false">0.1*(E5+E7+E9)</f>
        <v>4015619.51</v>
      </c>
      <c r="F23" s="61" t="n">
        <f aca="false">0.1*(F5+F7+F9)</f>
        <v>4417076.461</v>
      </c>
      <c r="G23" s="61" t="n">
        <f aca="false">0.1*(G5+G7+G9)</f>
        <v>4858673.8571</v>
      </c>
      <c r="H23" s="61" t="n">
        <f aca="false">0.1*(H5+H7+H9)</f>
        <v>5344425.48031</v>
      </c>
      <c r="I23" s="61"/>
      <c r="J23" s="63" t="s">
        <v>102</v>
      </c>
      <c r="K23" s="62" t="s">
        <v>117</v>
      </c>
    </row>
    <row r="24" customFormat="false" ht="15" hidden="false" customHeight="true" outlineLevel="0" collapsed="false">
      <c r="B24" s="46" t="n">
        <v>22</v>
      </c>
      <c r="C24" s="47" t="s">
        <v>118</v>
      </c>
      <c r="D24" s="60" t="n">
        <f aca="false">D7+D9</f>
        <v>10720000</v>
      </c>
      <c r="E24" s="61" t="n">
        <f aca="false">E7+E9</f>
        <v>11791000</v>
      </c>
      <c r="F24" s="61" t="n">
        <f aca="false">F7+F9</f>
        <v>12969050</v>
      </c>
      <c r="G24" s="61" t="n">
        <f aca="false">G7+G9</f>
        <v>14264852.5</v>
      </c>
      <c r="H24" s="61" t="n">
        <f aca="false">H7+H9</f>
        <v>15690180.125</v>
      </c>
      <c r="I24" s="61"/>
      <c r="J24" s="63" t="s">
        <v>102</v>
      </c>
      <c r="K24" s="62" t="s">
        <v>119</v>
      </c>
    </row>
    <row r="25" customFormat="false" ht="15" hidden="false" customHeight="true" outlineLevel="0" collapsed="false">
      <c r="B25" s="46" t="n">
        <v>23</v>
      </c>
      <c r="C25" s="47" t="s">
        <v>120</v>
      </c>
      <c r="D25" s="60" t="n">
        <v>5000</v>
      </c>
      <c r="E25" s="61" t="n">
        <v>5000</v>
      </c>
      <c r="F25" s="61" t="n">
        <v>5000</v>
      </c>
      <c r="G25" s="61" t="n">
        <v>5000</v>
      </c>
      <c r="H25" s="61" t="n">
        <v>5000</v>
      </c>
      <c r="I25" s="61"/>
      <c r="J25" s="63" t="s">
        <v>79</v>
      </c>
      <c r="K25" s="62" t="s">
        <v>121</v>
      </c>
    </row>
    <row r="26" customFormat="false" ht="15" hidden="false" customHeight="true" outlineLevel="0" collapsed="false">
      <c r="B26" s="46" t="n">
        <v>24</v>
      </c>
      <c r="C26" s="47" t="s">
        <v>122</v>
      </c>
      <c r="D26" s="60"/>
      <c r="E26" s="61"/>
      <c r="F26" s="61"/>
      <c r="G26" s="61"/>
      <c r="H26" s="61"/>
      <c r="I26" s="61"/>
      <c r="J26" s="63" t="s">
        <v>102</v>
      </c>
      <c r="K26" s="62" t="s">
        <v>123</v>
      </c>
    </row>
    <row r="27" customFormat="false" ht="15" hidden="false" customHeight="true" outlineLevel="0" collapsed="false">
      <c r="B27" s="46" t="n">
        <v>25</v>
      </c>
      <c r="C27" s="47" t="s">
        <v>124</v>
      </c>
      <c r="D27" s="60" t="n">
        <f aca="false">0.01*(D5+D7+D9)</f>
        <v>365065.41</v>
      </c>
      <c r="E27" s="61" t="n">
        <f aca="false">0.01*(E5+E7+E9)</f>
        <v>401561.951</v>
      </c>
      <c r="F27" s="61" t="n">
        <f aca="false">0.01*(F5+F7+F9)</f>
        <v>441707.6461</v>
      </c>
      <c r="G27" s="61" t="n">
        <f aca="false">0.01*(G5+G7+G9)</f>
        <v>485867.38571</v>
      </c>
      <c r="H27" s="61" t="n">
        <f aca="false">0.01*(H5+H7+H9)</f>
        <v>534442.548031</v>
      </c>
      <c r="I27" s="61"/>
      <c r="J27" s="63" t="s">
        <v>102</v>
      </c>
      <c r="K27" s="62" t="s">
        <v>125</v>
      </c>
    </row>
    <row r="28" customFormat="false" ht="15" hidden="false" customHeight="true" outlineLevel="0" collapsed="false">
      <c r="B28" s="46"/>
      <c r="C28" s="47" t="s">
        <v>126</v>
      </c>
      <c r="D28" s="60" t="n">
        <v>2</v>
      </c>
      <c r="E28" s="61" t="n">
        <v>2</v>
      </c>
      <c r="F28" s="61" t="n">
        <v>2</v>
      </c>
      <c r="G28" s="61" t="n">
        <v>2</v>
      </c>
      <c r="H28" s="61" t="n">
        <v>2</v>
      </c>
      <c r="I28" s="61"/>
      <c r="J28" s="63"/>
      <c r="K28" s="62"/>
    </row>
    <row r="29" customFormat="false" ht="23.25" hidden="false" customHeight="true" outlineLevel="0" collapsed="false">
      <c r="B29" s="46"/>
      <c r="C29" s="47" t="s">
        <v>127</v>
      </c>
      <c r="D29" s="60" t="n">
        <v>3</v>
      </c>
      <c r="E29" s="61" t="n">
        <v>3</v>
      </c>
      <c r="F29" s="61" t="n">
        <v>3</v>
      </c>
      <c r="G29" s="61" t="n">
        <v>3</v>
      </c>
      <c r="H29" s="61" t="n">
        <v>3</v>
      </c>
      <c r="I29" s="61"/>
      <c r="J29" s="64"/>
      <c r="K29" s="52"/>
    </row>
    <row r="30" customFormat="false" ht="15" hidden="false" customHeight="true" outlineLevel="0" collapsed="false">
      <c r="B30" s="46"/>
      <c r="C30" s="47"/>
      <c r="D30" s="61"/>
      <c r="E30" s="61"/>
      <c r="F30" s="61"/>
      <c r="G30" s="61"/>
      <c r="H30" s="61"/>
      <c r="I30" s="61"/>
      <c r="J30" s="64"/>
      <c r="K30" s="65"/>
    </row>
    <row r="31" customFormat="false" ht="15" hidden="false" customHeight="true" outlineLevel="0" collapsed="false">
      <c r="B31" s="46"/>
      <c r="C31" s="47"/>
      <c r="D31" s="61"/>
      <c r="E31" s="61"/>
      <c r="F31" s="61"/>
      <c r="G31" s="61"/>
      <c r="H31" s="61"/>
      <c r="I31" s="61"/>
      <c r="J31" s="64"/>
      <c r="K31" s="65"/>
    </row>
    <row r="32" customFormat="false" ht="15" hidden="false" customHeight="true" outlineLevel="0" collapsed="false">
      <c r="B32" s="46"/>
      <c r="C32" s="47"/>
      <c r="D32" s="61"/>
      <c r="E32" s="61"/>
      <c r="F32" s="61"/>
      <c r="G32" s="61"/>
      <c r="H32" s="61"/>
      <c r="I32" s="61"/>
      <c r="J32" s="64"/>
      <c r="K32" s="65"/>
    </row>
    <row r="33" customFormat="false" ht="15" hidden="false" customHeight="true" outlineLevel="0" collapsed="false">
      <c r="B33" s="45" t="s">
        <v>0</v>
      </c>
      <c r="C33" s="45" t="s">
        <v>41</v>
      </c>
      <c r="D33" s="45"/>
      <c r="E33" s="45"/>
      <c r="F33" s="45"/>
      <c r="G33" s="45"/>
      <c r="H33" s="45"/>
      <c r="I33" s="45"/>
      <c r="J33" s="45" t="s">
        <v>128</v>
      </c>
      <c r="K33" s="45" t="s">
        <v>129</v>
      </c>
    </row>
    <row r="34" customFormat="false" ht="15" hidden="false" customHeight="true" outlineLevel="0" collapsed="false">
      <c r="B34" s="46" t="n">
        <v>1</v>
      </c>
      <c r="C34" s="66" t="s">
        <v>130</v>
      </c>
      <c r="D34" s="66"/>
      <c r="E34" s="66"/>
      <c r="F34" s="66"/>
      <c r="G34" s="66"/>
      <c r="H34" s="66"/>
      <c r="I34" s="66"/>
      <c r="J34" s="67" t="s">
        <v>131</v>
      </c>
      <c r="K34" s="68"/>
    </row>
    <row r="35" customFormat="false" ht="15" hidden="false" customHeight="true" outlineLevel="0" collapsed="false">
      <c r="B35" s="46" t="n">
        <v>2</v>
      </c>
      <c r="C35" s="69" t="s">
        <v>132</v>
      </c>
      <c r="D35" s="69"/>
      <c r="E35" s="69"/>
      <c r="F35" s="69"/>
      <c r="G35" s="69"/>
      <c r="H35" s="69"/>
      <c r="I35" s="69"/>
      <c r="J35" s="67" t="s">
        <v>133</v>
      </c>
      <c r="K35" s="68"/>
    </row>
    <row r="36" customFormat="false" ht="15" hidden="false" customHeight="true" outlineLevel="0" collapsed="false">
      <c r="B36" s="46" t="n">
        <v>3</v>
      </c>
      <c r="C36" s="69" t="s">
        <v>134</v>
      </c>
      <c r="D36" s="69"/>
      <c r="E36" s="69"/>
      <c r="F36" s="69"/>
      <c r="G36" s="69"/>
      <c r="H36" s="69"/>
      <c r="I36" s="69"/>
      <c r="J36" s="67" t="s">
        <v>135</v>
      </c>
      <c r="K36" s="68"/>
    </row>
    <row r="37" customFormat="false" ht="15" hidden="false" customHeight="true" outlineLevel="0" collapsed="false">
      <c r="B37" s="46" t="n">
        <v>4</v>
      </c>
      <c r="C37" s="69" t="s">
        <v>136</v>
      </c>
      <c r="D37" s="69"/>
      <c r="E37" s="69"/>
      <c r="F37" s="69"/>
      <c r="G37" s="69"/>
      <c r="H37" s="69"/>
      <c r="I37" s="69"/>
      <c r="J37" s="67" t="s">
        <v>137</v>
      </c>
      <c r="K37" s="68"/>
    </row>
    <row r="38" customFormat="false" ht="15" hidden="false" customHeight="true" outlineLevel="0" collapsed="false">
      <c r="B38" s="46" t="n">
        <v>5</v>
      </c>
      <c r="C38" s="69" t="s">
        <v>138</v>
      </c>
      <c r="D38" s="69"/>
      <c r="E38" s="69"/>
      <c r="F38" s="69"/>
      <c r="G38" s="69"/>
      <c r="H38" s="69"/>
      <c r="I38" s="69"/>
      <c r="J38" s="67" t="s">
        <v>139</v>
      </c>
      <c r="K38" s="68"/>
    </row>
    <row r="39" customFormat="false" ht="15" hidden="false" customHeight="true" outlineLevel="0" collapsed="false">
      <c r="B39" s="46" t="n">
        <v>6</v>
      </c>
      <c r="C39" s="69" t="s">
        <v>140</v>
      </c>
      <c r="D39" s="69"/>
      <c r="E39" s="69"/>
      <c r="F39" s="69"/>
      <c r="G39" s="69"/>
      <c r="H39" s="69"/>
      <c r="I39" s="69"/>
      <c r="J39" s="67" t="s">
        <v>141</v>
      </c>
      <c r="K39" s="68"/>
    </row>
    <row r="40" customFormat="false" ht="15" hidden="false" customHeight="true" outlineLevel="0" collapsed="false">
      <c r="B40" s="70"/>
      <c r="C40" s="71"/>
      <c r="D40" s="72"/>
      <c r="I40" s="73"/>
      <c r="J40" s="74"/>
    </row>
    <row r="41" customFormat="false" ht="15" hidden="false" customHeight="true" outlineLevel="0" collapsed="false">
      <c r="B41" s="45" t="s">
        <v>0</v>
      </c>
      <c r="C41" s="45" t="s">
        <v>142</v>
      </c>
      <c r="D41" s="45"/>
      <c r="E41" s="45"/>
      <c r="F41" s="45"/>
      <c r="G41" s="45" t="s">
        <v>143</v>
      </c>
      <c r="H41" s="45" t="s">
        <v>144</v>
      </c>
      <c r="I41" s="45"/>
      <c r="J41" s="45" t="s">
        <v>129</v>
      </c>
    </row>
    <row r="42" customFormat="false" ht="16.5" hidden="false" customHeight="true" outlineLevel="0" collapsed="false">
      <c r="B42" s="75" t="n">
        <v>1</v>
      </c>
      <c r="C42" s="76" t="s">
        <v>145</v>
      </c>
      <c r="D42" s="76"/>
      <c r="E42" s="76"/>
      <c r="F42" s="76"/>
      <c r="G42" s="67" t="s">
        <v>141</v>
      </c>
      <c r="H42" s="77" t="s">
        <v>146</v>
      </c>
      <c r="I42" s="77"/>
      <c r="J42" s="78"/>
    </row>
    <row r="43" customFormat="false" ht="15" hidden="false" customHeight="true" outlineLevel="0" collapsed="false">
      <c r="B43" s="75" t="n">
        <v>2</v>
      </c>
      <c r="C43" s="76" t="s">
        <v>147</v>
      </c>
      <c r="D43" s="76"/>
      <c r="E43" s="76"/>
      <c r="F43" s="76"/>
      <c r="G43" s="67" t="s">
        <v>141</v>
      </c>
      <c r="H43" s="77" t="n">
        <v>1</v>
      </c>
      <c r="I43" s="77"/>
      <c r="J43" s="78"/>
    </row>
    <row r="44" customFormat="false" ht="15" hidden="false" customHeight="true" outlineLevel="0" collapsed="false">
      <c r="B44" s="75" t="n">
        <v>3</v>
      </c>
      <c r="C44" s="76" t="s">
        <v>148</v>
      </c>
      <c r="D44" s="76"/>
      <c r="E44" s="76"/>
      <c r="F44" s="76"/>
      <c r="G44" s="67" t="s">
        <v>141</v>
      </c>
      <c r="H44" s="77" t="n">
        <v>0.5</v>
      </c>
      <c r="I44" s="77"/>
      <c r="J44" s="78"/>
    </row>
    <row r="45" customFormat="false" ht="15" hidden="false" customHeight="true" outlineLevel="0" collapsed="false">
      <c r="B45" s="75" t="n">
        <v>4</v>
      </c>
      <c r="C45" s="76" t="s">
        <v>149</v>
      </c>
      <c r="D45" s="76"/>
      <c r="E45" s="76"/>
      <c r="F45" s="76"/>
      <c r="G45" s="67" t="s">
        <v>141</v>
      </c>
      <c r="H45" s="77" t="s">
        <v>146</v>
      </c>
      <c r="I45" s="77"/>
      <c r="J45" s="78"/>
    </row>
    <row r="46" customFormat="false" ht="15" hidden="false" customHeight="true" outlineLevel="0" collapsed="false">
      <c r="B46" s="75" t="n">
        <v>5</v>
      </c>
      <c r="C46" s="76" t="s">
        <v>150</v>
      </c>
      <c r="D46" s="76"/>
      <c r="E46" s="76"/>
      <c r="F46" s="76"/>
      <c r="G46" s="67" t="s">
        <v>141</v>
      </c>
      <c r="H46" s="77" t="s">
        <v>146</v>
      </c>
      <c r="I46" s="77"/>
      <c r="J46" s="79"/>
    </row>
    <row r="47" customFormat="false" ht="15" hidden="false" customHeight="true" outlineLevel="0" collapsed="false">
      <c r="B47" s="75" t="n">
        <v>6</v>
      </c>
      <c r="C47" s="76" t="s">
        <v>151</v>
      </c>
      <c r="D47" s="76"/>
      <c r="E47" s="76"/>
      <c r="F47" s="76"/>
      <c r="G47" s="67" t="s">
        <v>152</v>
      </c>
      <c r="H47" s="77" t="s">
        <v>146</v>
      </c>
      <c r="I47" s="77"/>
      <c r="J47" s="79"/>
    </row>
    <row r="48" customFormat="false" ht="15" hidden="false" customHeight="true" outlineLevel="0" collapsed="false">
      <c r="B48" s="75" t="n">
        <v>7</v>
      </c>
      <c r="C48" s="76" t="s">
        <v>153</v>
      </c>
      <c r="D48" s="76"/>
      <c r="E48" s="76"/>
      <c r="F48" s="76"/>
      <c r="G48" s="67" t="s">
        <v>152</v>
      </c>
      <c r="H48" s="77" t="s">
        <v>146</v>
      </c>
      <c r="I48" s="77"/>
      <c r="J48" s="79"/>
    </row>
    <row r="49" s="80" customFormat="true" ht="15.7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HYF+r4Z1933o1m9+63Pn7rdtPiSEGwIEwitfwiUpIuCpu7IPrfLCwgAkzSHgrBI31N/Uu0c7Sbj3SqmSW8fFNw==" saltValue="Z1pXetC0TuEPXPohmL2eaQ==" spinCount="100000" sheet="true" objects="true" scenarios="true"/>
  <mergeCells count="24">
    <mergeCell ref="A1:J1"/>
    <mergeCell ref="C33:I33"/>
    <mergeCell ref="C34:I34"/>
    <mergeCell ref="C35:I35"/>
    <mergeCell ref="C36:I36"/>
    <mergeCell ref="C37:I37"/>
    <mergeCell ref="C38:I38"/>
    <mergeCell ref="C39:I39"/>
    <mergeCell ref="C41:F41"/>
    <mergeCell ref="H41:I41"/>
    <mergeCell ref="C42:F42"/>
    <mergeCell ref="H42:I42"/>
    <mergeCell ref="C43:F43"/>
    <mergeCell ref="H43:I43"/>
    <mergeCell ref="C44:F44"/>
    <mergeCell ref="H44:I44"/>
    <mergeCell ref="C45:F45"/>
    <mergeCell ref="H45:I45"/>
    <mergeCell ref="C46:F46"/>
    <mergeCell ref="H46:I46"/>
    <mergeCell ref="C47:F47"/>
    <mergeCell ref="H47:I47"/>
    <mergeCell ref="C48:F48"/>
    <mergeCell ref="H48:I48"/>
  </mergeCells>
  <dataValidations count="6">
    <dataValidation allowBlank="false" errorStyle="stop" operator="between" showDropDown="false" showErrorMessage="true" showInputMessage="true" sqref="J36" type="list">
      <formula1>"Cloud,On-Premises"</formula1>
      <formula2>0</formula2>
    </dataValidation>
    <dataValidation allowBlank="true" errorStyle="stop" operator="between" showDropDown="false" showErrorMessage="true" showInputMessage="true" sqref="J38" type="list">
      <formula1>"MSSQL,Oracle,Postgres"</formula1>
      <formula2>0</formula2>
    </dataValidation>
    <dataValidation allowBlank="true" errorStyle="stop" operator="between" showDropDown="false" showErrorMessage="true" showInputMessage="true" sqref="J39 G42:G48" type="list">
      <formula1>"Yes,No"</formula1>
      <formula2>0</formula2>
    </dataValidation>
    <dataValidation allowBlank="true" errorStyle="stop" operator="between" showDropDown="false" showErrorMessage="true" showInputMessage="true" sqref="J37" type="list">
      <formula1>"No Preference,AWS,GCP,Azure,OCI,OpenShift,Not listed"</formula1>
      <formula2>0</formula2>
    </dataValidation>
    <dataValidation allowBlank="false" errorStyle="stop" operator="between" showDropDown="false" showErrorMessage="true" showInputMessage="true" sqref="J35" type="list">
      <formula1>"SaaS,Customer hosted"</formula1>
      <formula2>0</formula2>
    </dataValidation>
    <dataValidation allowBlank="true" errorStyle="stop" operator="between" showDropDown="false" showErrorMessage="true" showInputMessage="true" sqref="H42:I48" type="list">
      <formula1>"100%,50%,NA"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6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C3" activeCellId="0" sqref="C3"/>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68.29"/>
    <col collapsed="false" customWidth="false" hidden="false" outlineLevel="0" max="16384" min="12" style="38" width="9"/>
  </cols>
  <sheetData>
    <row r="2" customFormat="false" ht="15" hidden="false" customHeight="true" outlineLevel="0" collapsed="false">
      <c r="B2" s="45" t="s">
        <v>69</v>
      </c>
      <c r="C2" s="45" t="s">
        <v>154</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81" t="s">
        <v>78</v>
      </c>
      <c r="D3" s="51" t="n">
        <f aca="false">'Customer Volumes'!D3</f>
        <v>15500</v>
      </c>
      <c r="E3" s="51" t="n">
        <f aca="false">'Customer Volumes'!E3</f>
        <v>16275</v>
      </c>
      <c r="F3" s="51" t="n">
        <f aca="false">'Customer Volumes'!F3</f>
        <v>17088.75</v>
      </c>
      <c r="G3" s="51" t="n">
        <f aca="false">'Customer Volumes'!G3</f>
        <v>17943.1875</v>
      </c>
      <c r="H3" s="51" t="n">
        <f aca="false">'Customer Volumes'!H3</f>
        <v>18840.346875</v>
      </c>
      <c r="I3" s="82" t="n">
        <f aca="false">'Customer Volumes'!I3</f>
        <v>0.05</v>
      </c>
      <c r="J3" s="51" t="s">
        <v>79</v>
      </c>
      <c r="K3" s="52"/>
    </row>
    <row r="4" customFormat="false" ht="15" hidden="false" customHeight="true" outlineLevel="0" collapsed="false">
      <c r="B4" s="46" t="n">
        <v>2</v>
      </c>
      <c r="C4" s="81" t="s">
        <v>80</v>
      </c>
      <c r="D4" s="51" t="n">
        <f aca="false">'Customer Volumes'!D4</f>
        <v>4650</v>
      </c>
      <c r="E4" s="51" t="n">
        <f aca="false">'Customer Volumes'!E4</f>
        <v>4882.5</v>
      </c>
      <c r="F4" s="51" t="n">
        <f aca="false">'Customer Volumes'!F4</f>
        <v>5126.625</v>
      </c>
      <c r="G4" s="51" t="n">
        <f aca="false">'Customer Volumes'!G4</f>
        <v>5382.95625</v>
      </c>
      <c r="H4" s="51" t="n">
        <f aca="false">'Customer Volumes'!H4</f>
        <v>5652.1040625</v>
      </c>
      <c r="I4" s="82" t="n">
        <f aca="false">'Customer Volumes'!I4</f>
        <v>0.05</v>
      </c>
      <c r="J4" s="51" t="s">
        <v>79</v>
      </c>
      <c r="K4" s="52"/>
    </row>
    <row r="5" customFormat="false" ht="15" hidden="false" customHeight="true" outlineLevel="0" collapsed="false">
      <c r="B5" s="46" t="n">
        <v>3</v>
      </c>
      <c r="C5" s="83" t="s">
        <v>155</v>
      </c>
      <c r="D5" s="51" t="n">
        <f aca="false">'Customer Volumes'!D5/200/8</f>
        <v>16116.588125</v>
      </c>
      <c r="E5" s="51" t="n">
        <f aca="false">'Customer Volumes'!E5/200/8</f>
        <v>17728.2469375</v>
      </c>
      <c r="F5" s="51" t="n">
        <f aca="false">'Customer Volumes'!F5/200/8</f>
        <v>19501.07163125</v>
      </c>
      <c r="G5" s="51" t="n">
        <f aca="false">'Customer Volumes'!G5/200/8</f>
        <v>21451.178794375</v>
      </c>
      <c r="H5" s="51" t="n">
        <f aca="false">'Customer Volumes'!H5/200/8</f>
        <v>23596.2966738125</v>
      </c>
      <c r="I5" s="82" t="n">
        <f aca="false">'Customer Volumes'!I5</f>
        <v>0.1</v>
      </c>
      <c r="J5" s="51" t="s">
        <v>79</v>
      </c>
      <c r="K5" s="52"/>
    </row>
    <row r="6" customFormat="false" ht="15" hidden="false" customHeight="true" outlineLevel="0" collapsed="false">
      <c r="B6" s="46" t="n">
        <v>4</v>
      </c>
      <c r="C6" s="84" t="s">
        <v>82</v>
      </c>
      <c r="D6" s="51" t="n">
        <v>2</v>
      </c>
      <c r="E6" s="51" t="n">
        <v>2</v>
      </c>
      <c r="F6" s="51" t="n">
        <v>2</v>
      </c>
      <c r="G6" s="51" t="n">
        <v>2</v>
      </c>
      <c r="H6" s="51" t="n">
        <v>2</v>
      </c>
      <c r="I6" s="85"/>
      <c r="J6" s="51" t="s">
        <v>79</v>
      </c>
      <c r="K6" s="52" t="s">
        <v>83</v>
      </c>
    </row>
    <row r="7" customFormat="false" ht="15" hidden="false" customHeight="true" outlineLevel="0" collapsed="false">
      <c r="B7" s="46" t="n">
        <v>5</v>
      </c>
      <c r="C7" s="81" t="s">
        <v>84</v>
      </c>
      <c r="D7" s="51" t="n">
        <f aca="false">'Customer Volumes'!D7/200/8</f>
        <v>6687.5</v>
      </c>
      <c r="E7" s="51" t="n">
        <f aca="false">'Customer Volumes'!E7/200/8</f>
        <v>7356.25</v>
      </c>
      <c r="F7" s="51" t="n">
        <f aca="false">'Customer Volumes'!F7/200/8</f>
        <v>8091.875</v>
      </c>
      <c r="G7" s="51" t="n">
        <f aca="false">'Customer Volumes'!G7/200/8</f>
        <v>8901.0625</v>
      </c>
      <c r="H7" s="51" t="n">
        <f aca="false">'Customer Volumes'!H7/200/8</f>
        <v>9791.16875</v>
      </c>
      <c r="I7" s="85"/>
      <c r="J7" s="51" t="s">
        <v>79</v>
      </c>
      <c r="K7" s="52"/>
    </row>
    <row r="8" customFormat="false" ht="15" hidden="false" customHeight="true" outlineLevel="0" collapsed="false">
      <c r="B8" s="46" t="n">
        <v>6</v>
      </c>
      <c r="C8" s="81" t="s">
        <v>85</v>
      </c>
      <c r="D8" s="51" t="n">
        <v>2</v>
      </c>
      <c r="E8" s="51" t="n">
        <v>2</v>
      </c>
      <c r="F8" s="51" t="n">
        <v>2</v>
      </c>
      <c r="G8" s="51" t="n">
        <v>2</v>
      </c>
      <c r="H8" s="51" t="n">
        <v>2</v>
      </c>
      <c r="I8" s="85"/>
      <c r="J8" s="51" t="s">
        <v>79</v>
      </c>
      <c r="K8" s="52" t="s">
        <v>86</v>
      </c>
    </row>
    <row r="9" customFormat="false" ht="15" hidden="false" customHeight="true" outlineLevel="0" collapsed="false">
      <c r="B9" s="46" t="n">
        <v>7</v>
      </c>
      <c r="C9" s="81" t="s">
        <v>156</v>
      </c>
      <c r="D9" s="51" t="n">
        <f aca="false">'Customer Volumes'!D9/200/8</f>
        <v>12.5</v>
      </c>
      <c r="E9" s="51" t="n">
        <f aca="false">'Customer Volumes'!E9/200/8</f>
        <v>13.125</v>
      </c>
      <c r="F9" s="51" t="n">
        <f aca="false">'Customer Volumes'!F9/200/8</f>
        <v>13.78125</v>
      </c>
      <c r="G9" s="51" t="n">
        <f aca="false">'Customer Volumes'!G9/200/8</f>
        <v>14.4703125</v>
      </c>
      <c r="H9" s="51" t="n">
        <f aca="false">'Customer Volumes'!H9/200/8</f>
        <v>15.193828125</v>
      </c>
      <c r="I9" s="85" t="n">
        <v>0.15</v>
      </c>
      <c r="J9" s="51" t="s">
        <v>79</v>
      </c>
      <c r="K9" s="52"/>
    </row>
    <row r="10" customFormat="false" ht="15" hidden="false" customHeight="true" outlineLevel="0" collapsed="false">
      <c r="B10" s="46" t="n">
        <v>8</v>
      </c>
      <c r="C10" s="81" t="s">
        <v>157</v>
      </c>
      <c r="D10" s="51" t="n">
        <v>1</v>
      </c>
      <c r="E10" s="51" t="n">
        <v>1</v>
      </c>
      <c r="F10" s="51" t="n">
        <v>1</v>
      </c>
      <c r="G10" s="51" t="n">
        <v>1</v>
      </c>
      <c r="H10" s="51" t="n">
        <v>1</v>
      </c>
      <c r="I10" s="51"/>
      <c r="J10" s="51" t="s">
        <v>79</v>
      </c>
      <c r="K10" s="52" t="s">
        <v>89</v>
      </c>
    </row>
    <row r="11" customFormat="false" ht="15" hidden="false" customHeight="true" outlineLevel="0" collapsed="false">
      <c r="B11" s="46" t="n">
        <v>9</v>
      </c>
      <c r="C11" s="81" t="s">
        <v>158</v>
      </c>
      <c r="D11" s="51" t="n">
        <v>1</v>
      </c>
      <c r="E11" s="51" t="n">
        <v>1</v>
      </c>
      <c r="F11" s="51" t="n">
        <v>1</v>
      </c>
      <c r="G11" s="51" t="n">
        <v>1</v>
      </c>
      <c r="H11" s="51" t="n">
        <v>1</v>
      </c>
      <c r="I11" s="85"/>
      <c r="J11" s="51" t="s">
        <v>79</v>
      </c>
      <c r="K11" s="52" t="s">
        <v>91</v>
      </c>
    </row>
    <row r="12" customFormat="false" ht="15" hidden="false" customHeight="true" outlineLevel="0" collapsed="false">
      <c r="B12" s="46" t="n">
        <v>10</v>
      </c>
      <c r="C12" s="81" t="s">
        <v>92</v>
      </c>
      <c r="D12" s="51" t="n">
        <v>1</v>
      </c>
      <c r="E12" s="51" t="n">
        <v>1</v>
      </c>
      <c r="F12" s="51" t="n">
        <v>1</v>
      </c>
      <c r="G12" s="51" t="n">
        <v>1</v>
      </c>
      <c r="H12" s="51" t="n">
        <v>1</v>
      </c>
      <c r="I12" s="85"/>
      <c r="J12" s="51" t="s">
        <v>79</v>
      </c>
      <c r="K12" s="52" t="s">
        <v>93</v>
      </c>
    </row>
    <row r="13" customFormat="false" ht="15" hidden="false" customHeight="true" outlineLevel="0" collapsed="false">
      <c r="B13" s="46" t="n">
        <v>11</v>
      </c>
      <c r="C13" s="81" t="s">
        <v>94</v>
      </c>
      <c r="D13" s="51" t="n">
        <v>500</v>
      </c>
      <c r="E13" s="51" t="n">
        <f aca="false">D13*(1+I13)</f>
        <v>525</v>
      </c>
      <c r="F13" s="51" t="n">
        <f aca="false">E13*(1+I13)</f>
        <v>551.25</v>
      </c>
      <c r="G13" s="51" t="n">
        <f aca="false">F13*(1+I13)</f>
        <v>578.8125</v>
      </c>
      <c r="H13" s="51" t="n">
        <f aca="false">G13*(1+I13)</f>
        <v>607.753125</v>
      </c>
      <c r="I13" s="85" t="n">
        <v>0.05</v>
      </c>
      <c r="J13" s="51" t="s">
        <v>79</v>
      </c>
      <c r="K13" s="52"/>
    </row>
    <row r="14" customFormat="false" ht="15" hidden="false" customHeight="true" outlineLevel="0" collapsed="false">
      <c r="B14" s="46" t="n">
        <v>12</v>
      </c>
      <c r="C14" s="81" t="s">
        <v>95</v>
      </c>
      <c r="D14" s="51" t="n">
        <v>2</v>
      </c>
      <c r="E14" s="51" t="n">
        <v>2</v>
      </c>
      <c r="F14" s="51" t="n">
        <v>2</v>
      </c>
      <c r="G14" s="51" t="n">
        <v>2</v>
      </c>
      <c r="H14" s="51" t="n">
        <v>2</v>
      </c>
      <c r="I14" s="85"/>
      <c r="J14" s="51" t="s">
        <v>79</v>
      </c>
      <c r="K14" s="52" t="s">
        <v>96</v>
      </c>
    </row>
    <row r="15" customFormat="false" ht="15" hidden="false" customHeight="true" outlineLevel="0" collapsed="false">
      <c r="B15" s="46" t="n">
        <v>13</v>
      </c>
      <c r="C15" s="81" t="s">
        <v>97</v>
      </c>
      <c r="D15" s="51" t="n">
        <v>2</v>
      </c>
      <c r="E15" s="51" t="n">
        <v>2</v>
      </c>
      <c r="F15" s="51" t="n">
        <v>2</v>
      </c>
      <c r="G15" s="51" t="n">
        <v>2</v>
      </c>
      <c r="H15" s="51" t="n">
        <v>2</v>
      </c>
      <c r="I15" s="51"/>
      <c r="J15" s="51" t="s">
        <v>79</v>
      </c>
      <c r="K15" s="52" t="s">
        <v>98</v>
      </c>
    </row>
    <row r="16" customFormat="false" ht="15" hidden="false" customHeight="true" outlineLevel="0" collapsed="false">
      <c r="B16" s="46" t="n">
        <v>14</v>
      </c>
      <c r="C16" s="81" t="s">
        <v>159</v>
      </c>
      <c r="D16" s="63" t="n">
        <v>2</v>
      </c>
      <c r="E16" s="63" t="n">
        <v>2</v>
      </c>
      <c r="F16" s="63" t="n">
        <v>2</v>
      </c>
      <c r="G16" s="63" t="n">
        <v>2</v>
      </c>
      <c r="H16" s="63" t="n">
        <v>2</v>
      </c>
      <c r="I16" s="85"/>
      <c r="J16" s="51" t="s">
        <v>79</v>
      </c>
      <c r="K16" s="52" t="s">
        <v>100</v>
      </c>
    </row>
    <row r="17" customFormat="false" ht="15" hidden="false" customHeight="true" outlineLevel="0" collapsed="false">
      <c r="B17" s="46" t="n">
        <v>15</v>
      </c>
      <c r="C17" s="81" t="s">
        <v>101</v>
      </c>
      <c r="D17" s="63" t="n">
        <f aca="false">(D5+D7+D9)*2</f>
        <v>45633.17625</v>
      </c>
      <c r="E17" s="63" t="n">
        <f aca="false">(E5+E7+E9)*2</f>
        <v>50195.243875</v>
      </c>
      <c r="F17" s="63" t="n">
        <f aca="false">(F5+F7+F9)*2</f>
        <v>55213.4557625</v>
      </c>
      <c r="G17" s="63" t="n">
        <f aca="false">(G5+G7+G9)*2</f>
        <v>60733.42321375</v>
      </c>
      <c r="H17" s="63" t="n">
        <f aca="false">(H5+H7+H9)*2</f>
        <v>66805.318503875</v>
      </c>
      <c r="I17" s="63"/>
      <c r="J17" s="63" t="s">
        <v>102</v>
      </c>
      <c r="K17" s="62" t="s">
        <v>103</v>
      </c>
    </row>
    <row r="18" customFormat="false" ht="15" hidden="false" customHeight="true" outlineLevel="0" collapsed="false">
      <c r="B18" s="46" t="n">
        <v>16</v>
      </c>
      <c r="C18" s="81" t="s">
        <v>160</v>
      </c>
      <c r="D18" s="63" t="s">
        <v>111</v>
      </c>
      <c r="E18" s="63" t="s">
        <v>111</v>
      </c>
      <c r="F18" s="63" t="s">
        <v>111</v>
      </c>
      <c r="G18" s="63" t="s">
        <v>111</v>
      </c>
      <c r="H18" s="63" t="s">
        <v>111</v>
      </c>
      <c r="I18" s="63"/>
      <c r="J18" s="63" t="s">
        <v>106</v>
      </c>
      <c r="K18" s="62" t="s">
        <v>107</v>
      </c>
    </row>
    <row r="19" customFormat="false" ht="15" hidden="false" customHeight="true" outlineLevel="0" collapsed="false">
      <c r="B19" s="46" t="n">
        <v>17</v>
      </c>
      <c r="C19" s="81" t="s">
        <v>161</v>
      </c>
      <c r="D19" s="63" t="n">
        <f aca="false">D4</f>
        <v>4650</v>
      </c>
      <c r="E19" s="63" t="n">
        <f aca="false">E4</f>
        <v>4882.5</v>
      </c>
      <c r="F19" s="63" t="n">
        <f aca="false">F4</f>
        <v>5126.625</v>
      </c>
      <c r="G19" s="63" t="n">
        <f aca="false">G4</f>
        <v>5382.95625</v>
      </c>
      <c r="H19" s="63" t="n">
        <f aca="false">H4</f>
        <v>5652.1040625</v>
      </c>
      <c r="I19" s="63"/>
      <c r="J19" s="63" t="s">
        <v>102</v>
      </c>
      <c r="K19" s="62" t="s">
        <v>109</v>
      </c>
    </row>
    <row r="20" customFormat="false" ht="15" hidden="false" customHeight="true" outlineLevel="0" collapsed="false">
      <c r="B20" s="46" t="n">
        <v>18</v>
      </c>
      <c r="C20" s="81" t="s">
        <v>110</v>
      </c>
      <c r="D20" s="63" t="s">
        <v>111</v>
      </c>
      <c r="E20" s="63" t="s">
        <v>111</v>
      </c>
      <c r="F20" s="63" t="s">
        <v>111</v>
      </c>
      <c r="G20" s="63" t="s">
        <v>111</v>
      </c>
      <c r="H20" s="63" t="s">
        <v>111</v>
      </c>
      <c r="I20" s="63"/>
      <c r="J20" s="63" t="s">
        <v>106</v>
      </c>
      <c r="K20" s="62" t="s">
        <v>107</v>
      </c>
    </row>
    <row r="21" customFormat="false" ht="15" hidden="false" customHeight="true" outlineLevel="0" collapsed="false">
      <c r="B21" s="46" t="n">
        <v>19</v>
      </c>
      <c r="C21" s="81" t="s">
        <v>112</v>
      </c>
      <c r="D21" s="63" t="n">
        <f aca="false">D5/10</f>
        <v>1611.6588125</v>
      </c>
      <c r="E21" s="63" t="n">
        <f aca="false">E5/10</f>
        <v>1772.82469375</v>
      </c>
      <c r="F21" s="63" t="n">
        <f aca="false">F5/10</f>
        <v>1950.107163125</v>
      </c>
      <c r="G21" s="63" t="n">
        <f aca="false">G5/10</f>
        <v>2145.1178794375</v>
      </c>
      <c r="H21" s="63" t="n">
        <f aca="false">H5/10</f>
        <v>2359.62966738125</v>
      </c>
      <c r="I21" s="63"/>
      <c r="J21" s="63" t="s">
        <v>102</v>
      </c>
      <c r="K21" s="62" t="s">
        <v>113</v>
      </c>
    </row>
    <row r="22" customFormat="false" ht="15" hidden="false" customHeight="true" outlineLevel="0" collapsed="false">
      <c r="B22" s="46" t="n">
        <v>20</v>
      </c>
      <c r="C22" s="81" t="s">
        <v>114</v>
      </c>
      <c r="D22" s="63" t="n">
        <f aca="false">0.1*(D7+D9+D5)</f>
        <v>2281.6588125</v>
      </c>
      <c r="E22" s="63" t="n">
        <f aca="false">0.1*(E7+E9+E5)</f>
        <v>2509.76219375</v>
      </c>
      <c r="F22" s="63" t="n">
        <f aca="false">0.1*(F7+F9+F5)</f>
        <v>2760.672788125</v>
      </c>
      <c r="G22" s="63" t="n">
        <f aca="false">0.1*(G7+G9+G5)</f>
        <v>3036.6711606875</v>
      </c>
      <c r="H22" s="63" t="n">
        <f aca="false">0.1*(H7+H9+H5)</f>
        <v>3340.26592519375</v>
      </c>
      <c r="I22" s="63"/>
      <c r="J22" s="63" t="s">
        <v>102</v>
      </c>
      <c r="K22" s="62" t="s">
        <v>115</v>
      </c>
    </row>
    <row r="23" customFormat="false" ht="15" hidden="false" customHeight="true" outlineLevel="0" collapsed="false">
      <c r="B23" s="46" t="n">
        <v>21</v>
      </c>
      <c r="C23" s="81" t="s">
        <v>116</v>
      </c>
      <c r="D23" s="63" t="n">
        <f aca="false">0.1*(D7+D9+D5)</f>
        <v>2281.6588125</v>
      </c>
      <c r="E23" s="63" t="n">
        <f aca="false">0.1*(E7+E9+E5)</f>
        <v>2509.76219375</v>
      </c>
      <c r="F23" s="63" t="n">
        <f aca="false">0.1*(F7+F9+F5)</f>
        <v>2760.672788125</v>
      </c>
      <c r="G23" s="63" t="n">
        <f aca="false">0.1*(G7+G9+G5)</f>
        <v>3036.6711606875</v>
      </c>
      <c r="H23" s="63" t="n">
        <f aca="false">0.1*(H7+H9+H5)</f>
        <v>3340.26592519375</v>
      </c>
      <c r="I23" s="63"/>
      <c r="J23" s="63" t="s">
        <v>102</v>
      </c>
      <c r="K23" s="62" t="s">
        <v>117</v>
      </c>
    </row>
    <row r="24" customFormat="false" ht="15" hidden="false" customHeight="true" outlineLevel="0" collapsed="false">
      <c r="B24" s="46" t="n">
        <v>22</v>
      </c>
      <c r="C24" s="81" t="s">
        <v>162</v>
      </c>
      <c r="D24" s="63" t="n">
        <f aca="false">D7+D9</f>
        <v>6700</v>
      </c>
      <c r="E24" s="63" t="n">
        <f aca="false">E7+E9</f>
        <v>7369.375</v>
      </c>
      <c r="F24" s="63" t="n">
        <f aca="false">F7+F9</f>
        <v>8105.65625</v>
      </c>
      <c r="G24" s="63" t="n">
        <f aca="false">G7+G9</f>
        <v>8915.5328125</v>
      </c>
      <c r="H24" s="63" t="n">
        <f aca="false">H7+H9</f>
        <v>9806.36257812501</v>
      </c>
      <c r="I24" s="63"/>
      <c r="J24" s="63" t="s">
        <v>102</v>
      </c>
      <c r="K24" s="62" t="s">
        <v>119</v>
      </c>
    </row>
    <row r="25" customFormat="false" ht="15" hidden="false" customHeight="true" outlineLevel="0" collapsed="false">
      <c r="B25" s="46" t="n">
        <v>23</v>
      </c>
      <c r="C25" s="81" t="s">
        <v>163</v>
      </c>
      <c r="D25" s="63" t="n">
        <v>100000</v>
      </c>
      <c r="E25" s="63" t="n">
        <v>100000</v>
      </c>
      <c r="F25" s="63" t="n">
        <v>100000</v>
      </c>
      <c r="G25" s="63" t="n">
        <v>100000</v>
      </c>
      <c r="H25" s="63" t="n">
        <v>100000</v>
      </c>
      <c r="I25" s="63"/>
      <c r="J25" s="63" t="s">
        <v>79</v>
      </c>
      <c r="K25" s="62" t="s">
        <v>121</v>
      </c>
    </row>
    <row r="26" customFormat="false" ht="15" hidden="false" customHeight="true" outlineLevel="0" collapsed="false">
      <c r="B26" s="46" t="n">
        <v>24</v>
      </c>
      <c r="C26" s="81" t="s">
        <v>164</v>
      </c>
      <c r="D26" s="63" t="n">
        <f aca="false">D21+D22+D24</f>
        <v>10593.317625</v>
      </c>
      <c r="E26" s="63" t="n">
        <f aca="false">E21+E22+E24</f>
        <v>11651.9618875</v>
      </c>
      <c r="F26" s="63" t="n">
        <f aca="false">F21+F22+F24</f>
        <v>12816.43620125</v>
      </c>
      <c r="G26" s="63" t="n">
        <f aca="false">G21+G22+G24</f>
        <v>14097.321852625</v>
      </c>
      <c r="H26" s="63" t="n">
        <f aca="false">H21+H22+H24</f>
        <v>15506.2581707</v>
      </c>
      <c r="I26" s="63"/>
      <c r="J26" s="63" t="s">
        <v>102</v>
      </c>
      <c r="K26" s="62" t="s">
        <v>123</v>
      </c>
    </row>
    <row r="27" customFormat="false" ht="15" hidden="false" customHeight="true" outlineLevel="0" collapsed="false">
      <c r="B27" s="46" t="n">
        <v>25</v>
      </c>
      <c r="C27" s="81" t="s">
        <v>165</v>
      </c>
      <c r="D27" s="63" t="n">
        <f aca="false">0.1*(D7+D9+D5)</f>
        <v>2281.6588125</v>
      </c>
      <c r="E27" s="63" t="n">
        <f aca="false">0.1*(E7+E9+E5)</f>
        <v>2509.76219375</v>
      </c>
      <c r="F27" s="63" t="n">
        <f aca="false">0.1*(F7+F9+F5)</f>
        <v>2760.672788125</v>
      </c>
      <c r="G27" s="63" t="n">
        <f aca="false">0.1*(G7+G9+G5)</f>
        <v>3036.6711606875</v>
      </c>
      <c r="H27" s="63" t="n">
        <f aca="false">0.1*(H7+H9+H5)</f>
        <v>3340.26592519375</v>
      </c>
      <c r="I27" s="63"/>
      <c r="J27" s="63" t="s">
        <v>102</v>
      </c>
      <c r="K27" s="62" t="s">
        <v>125</v>
      </c>
    </row>
    <row r="28" customFormat="false" ht="15" hidden="false" customHeight="true" outlineLevel="0" collapsed="false">
      <c r="B28" s="46"/>
      <c r="C28" s="81"/>
      <c r="D28" s="63"/>
      <c r="E28" s="63"/>
      <c r="F28" s="63"/>
      <c r="G28" s="63"/>
      <c r="H28" s="63"/>
      <c r="I28" s="63"/>
      <c r="J28" s="63"/>
      <c r="K28" s="62"/>
    </row>
    <row r="29" customFormat="false" ht="15" hidden="false" customHeight="true" outlineLevel="0" collapsed="false">
      <c r="B29" s="46"/>
      <c r="C29" s="81"/>
      <c r="D29" s="81"/>
      <c r="E29" s="81"/>
      <c r="F29" s="81"/>
      <c r="G29" s="81"/>
      <c r="H29" s="81"/>
      <c r="I29" s="81"/>
      <c r="J29" s="81"/>
      <c r="K29" s="86"/>
    </row>
    <row r="30" customFormat="false" ht="15" hidden="false" customHeight="true" outlineLevel="0" collapsed="false">
      <c r="B30" s="46"/>
      <c r="C30" s="81"/>
      <c r="D30" s="81"/>
      <c r="E30" s="81"/>
      <c r="F30" s="81"/>
      <c r="G30" s="81"/>
      <c r="H30" s="81"/>
      <c r="I30" s="81"/>
      <c r="J30" s="81"/>
      <c r="K30" s="86"/>
    </row>
    <row r="31" customFormat="false" ht="15" hidden="false" customHeight="true" outlineLevel="0" collapsed="false">
      <c r="B31" s="46"/>
      <c r="C31" s="81"/>
      <c r="D31" s="81"/>
      <c r="E31" s="81"/>
      <c r="F31" s="81"/>
      <c r="G31" s="81"/>
      <c r="H31" s="81"/>
      <c r="I31" s="81"/>
      <c r="J31" s="81"/>
      <c r="K31" s="86"/>
    </row>
    <row r="32" customFormat="false" ht="15" hidden="false" customHeight="true" outlineLevel="0" collapsed="false">
      <c r="B32" s="46"/>
      <c r="C32" s="81"/>
      <c r="D32" s="81"/>
      <c r="E32" s="81"/>
      <c r="F32" s="81"/>
      <c r="G32" s="81"/>
      <c r="H32" s="81"/>
      <c r="I32" s="81"/>
      <c r="J32" s="81"/>
      <c r="K32" s="86"/>
    </row>
    <row r="33" s="80" customFormat="true" ht="15.75" hidden="false" customHeight="true" outlineLevel="0" collapsed="false"/>
    <row r="34" s="80" customFormat="true" ht="15" hidden="false" customHeight="true" outlineLevel="0" collapsed="false"/>
    <row r="35" s="80" customFormat="true" ht="15" hidden="false" customHeight="true" outlineLevel="0" collapsed="false"/>
    <row r="36" s="80" customFormat="true" ht="15" hidden="false" customHeight="true" outlineLevel="0" collapsed="false"/>
    <row r="37" s="80" customFormat="true" ht="15" hidden="false" customHeight="true" outlineLevel="0" collapsed="false"/>
    <row r="38" s="80" customFormat="true" ht="15" hidden="false" customHeight="true" outlineLevel="0" collapsed="false"/>
    <row r="39" s="80" customFormat="true" ht="15" hidden="false" customHeight="true" outlineLevel="0" collapsed="false"/>
    <row r="40" s="80" customFormat="true" ht="15" hidden="false" customHeight="true" outlineLevel="0" collapsed="false"/>
    <row r="41" s="80" customFormat="true" ht="15" hidden="false" customHeight="true" outlineLevel="0" collapsed="false"/>
    <row r="42" s="80" customFormat="true" ht="16.5" hidden="false" customHeight="true" outlineLevel="0" collapsed="false"/>
    <row r="43" s="80" customFormat="true" ht="15" hidden="false" customHeight="true" outlineLevel="0" collapsed="false"/>
    <row r="44" s="80" customFormat="true" ht="15" hidden="false" customHeight="true" outlineLevel="0" collapsed="false"/>
    <row r="45" s="80" customFormat="true" ht="15" hidden="false" customHeight="true" outlineLevel="0" collapsed="false"/>
    <row r="46" s="80" customFormat="true" ht="15" hidden="false" customHeight="true" outlineLevel="0" collapsed="false"/>
    <row r="47" s="80" customFormat="true" ht="15" hidden="false" customHeight="true" outlineLevel="0" collapsed="false"/>
    <row r="48" s="80" customFormat="true" ht="15" hidden="false" customHeight="true" outlineLevel="0" collapsed="false"/>
    <row r="49" s="80" customFormat="true" ht="1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NSwAu327TBO4Un8K2A5Pk87sPLaeKK+f0IpCix6fg6ZTfkWRjQOVJAq4gQBPwmiqtW65jlPgzF4E4oiPZv9ltw==" saltValue="aqQFf/6pvQkv2zzEJ0Babg==" spinCount="100000"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W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57"/>
    <col collapsed="false" customWidth="true" hidden="false" outlineLevel="0" max="2" min="2" style="1" width="26.29"/>
    <col collapsed="false" customWidth="true" hidden="false" outlineLevel="0" max="3" min="3" style="1" width="48.29"/>
    <col collapsed="false" customWidth="true" hidden="false" outlineLevel="0" max="4" min="4" style="87" width="9.86"/>
    <col collapsed="false" customWidth="true" hidden="false" outlineLevel="0" max="5" min="5" style="1" width="7.29"/>
    <col collapsed="false" customWidth="true" hidden="false" outlineLevel="0" max="6" min="6" style="1" width="8.86"/>
    <col collapsed="false" customWidth="true" hidden="false" outlineLevel="0" max="7" min="7" style="1" width="7.86"/>
    <col collapsed="false" customWidth="true" hidden="false" outlineLevel="0" max="8" min="8" style="87" width="8.86"/>
    <col collapsed="false" customWidth="true" hidden="false" outlineLevel="0" max="10" min="10" style="1" width="8.86"/>
    <col collapsed="false" customWidth="true" hidden="false" outlineLevel="0" max="11" min="11" style="1" width="10.42"/>
    <col collapsed="false" customWidth="true" hidden="false" outlineLevel="0" max="13" min="13" style="1" width="13.15"/>
    <col collapsed="false" customWidth="true" hidden="false" outlineLevel="0" max="14" min="14" style="1" width="10.42"/>
    <col collapsed="false" customWidth="true" hidden="false" outlineLevel="0" max="16" min="16" style="1" width="13.15"/>
    <col collapsed="false" customWidth="true" hidden="false" outlineLevel="0" max="17" min="17" style="1" width="10.42"/>
    <col collapsed="false" customWidth="true" hidden="false" outlineLevel="0" max="19" min="19" style="1" width="13.15"/>
    <col collapsed="false" customWidth="true" hidden="false" outlineLevel="0" max="20" min="20" style="1" width="10.42"/>
    <col collapsed="false" customWidth="true" hidden="false" outlineLevel="0" max="22" min="22" style="1" width="13.15"/>
    <col collapsed="false" customWidth="true" hidden="false" outlineLevel="0" max="23" min="23" style="1" width="34.42"/>
    <col collapsed="false" customWidth="true" hidden="false" outlineLevel="0" max="24" min="24" style="1" width="15.71"/>
  </cols>
  <sheetData>
    <row r="2" customFormat="false" ht="15" hidden="false" customHeight="true" outlineLevel="0" collapsed="false">
      <c r="B2" s="88" t="s">
        <v>166</v>
      </c>
      <c r="H2" s="89" t="s">
        <v>167</v>
      </c>
      <c r="I2" s="89"/>
      <c r="J2" s="89"/>
      <c r="K2" s="89"/>
      <c r="L2" s="89"/>
    </row>
    <row r="3" s="90" customFormat="true" ht="23.25" hidden="false" customHeight="true" outlineLevel="0" collapsed="false">
      <c r="B3" s="45" t="s">
        <v>168</v>
      </c>
      <c r="C3" s="45" t="s">
        <v>169</v>
      </c>
      <c r="D3" s="45" t="s">
        <v>170</v>
      </c>
      <c r="E3" s="45" t="s">
        <v>171</v>
      </c>
      <c r="F3" s="45" t="s">
        <v>172</v>
      </c>
      <c r="H3" s="45" t="s">
        <v>70</v>
      </c>
      <c r="I3" s="45" t="s">
        <v>171</v>
      </c>
      <c r="J3" s="45" t="s">
        <v>172</v>
      </c>
      <c r="K3" s="45" t="s">
        <v>71</v>
      </c>
      <c r="L3" s="45" t="s">
        <v>171</v>
      </c>
      <c r="M3" s="45" t="s">
        <v>172</v>
      </c>
      <c r="N3" s="45" t="s">
        <v>72</v>
      </c>
      <c r="O3" s="45" t="s">
        <v>171</v>
      </c>
      <c r="P3" s="45" t="s">
        <v>172</v>
      </c>
      <c r="Q3" s="45" t="s">
        <v>73</v>
      </c>
      <c r="R3" s="45" t="s">
        <v>171</v>
      </c>
      <c r="S3" s="45" t="s">
        <v>172</v>
      </c>
      <c r="T3" s="45" t="s">
        <v>74</v>
      </c>
      <c r="U3" s="45" t="s">
        <v>171</v>
      </c>
      <c r="V3" s="45" t="s">
        <v>172</v>
      </c>
      <c r="W3" s="45" t="s">
        <v>173</v>
      </c>
    </row>
    <row r="4" customFormat="false" ht="15" hidden="false" customHeight="true" outlineLevel="0" collapsed="false">
      <c r="B4" s="81" t="s">
        <v>174</v>
      </c>
      <c r="C4" s="81" t="s">
        <v>80</v>
      </c>
      <c r="D4" s="91" t="n">
        <v>100</v>
      </c>
      <c r="E4" s="81" t="n">
        <v>1.2</v>
      </c>
      <c r="F4" s="81" t="n">
        <v>2.2</v>
      </c>
      <c r="H4" s="92" t="n">
        <f aca="false">'Per Hour Volumes'!$D4</f>
        <v>4650</v>
      </c>
      <c r="I4" s="93" t="n">
        <f aca="false">H4/D4*E4</f>
        <v>55.8</v>
      </c>
      <c r="J4" s="93" t="n">
        <f aca="false">H4/D4*F4</f>
        <v>102.3</v>
      </c>
      <c r="K4" s="92" t="n">
        <f aca="false">'Per Hour Volumes'!E4</f>
        <v>4882.5</v>
      </c>
      <c r="L4" s="93" t="n">
        <f aca="false">K4/D4*E4</f>
        <v>58.59</v>
      </c>
      <c r="M4" s="93" t="n">
        <f aca="false">K4/D4*F4</f>
        <v>107.415</v>
      </c>
      <c r="N4" s="92" t="n">
        <f aca="false">'Per Hour Volumes'!F4</f>
        <v>5126.625</v>
      </c>
      <c r="O4" s="93" t="n">
        <f aca="false">N4/D4*E4</f>
        <v>61.5195</v>
      </c>
      <c r="P4" s="93" t="n">
        <f aca="false">N4/D4*F4</f>
        <v>112.78575</v>
      </c>
      <c r="Q4" s="92" t="n">
        <f aca="false">'Per Hour Volumes'!G4</f>
        <v>5382.95625</v>
      </c>
      <c r="R4" s="93" t="n">
        <f aca="false">Q4/D4*E4</f>
        <v>64.595475</v>
      </c>
      <c r="S4" s="93" t="n">
        <f aca="false">Q4/D4*F4</f>
        <v>118.4250375</v>
      </c>
      <c r="T4" s="92" t="n">
        <f aca="false">'Per Hour Volumes'!H4</f>
        <v>5652.1040625</v>
      </c>
      <c r="U4" s="93" t="n">
        <f aca="false">T4/D4*E4</f>
        <v>67.82524875</v>
      </c>
      <c r="V4" s="93" t="n">
        <f aca="false">T4/D4*F4</f>
        <v>124.346289375</v>
      </c>
      <c r="W4" s="94"/>
    </row>
    <row r="5" customFormat="false" ht="15" hidden="false" customHeight="true" outlineLevel="0" collapsed="false">
      <c r="B5" s="81" t="s">
        <v>175</v>
      </c>
      <c r="C5" s="81" t="s">
        <v>176</v>
      </c>
      <c r="D5" s="91" t="n">
        <v>100</v>
      </c>
      <c r="E5" s="81" t="n">
        <v>0.5</v>
      </c>
      <c r="F5" s="81" t="n">
        <v>2</v>
      </c>
      <c r="H5" s="92" t="n">
        <f aca="false">'Per Hour Volumes'!$D$13</f>
        <v>500</v>
      </c>
      <c r="I5" s="93" t="n">
        <f aca="false">H5/D5*E5</f>
        <v>2.5</v>
      </c>
      <c r="J5" s="93" t="n">
        <f aca="false">H5/D5*F5</f>
        <v>10</v>
      </c>
      <c r="K5" s="92" t="n">
        <f aca="false">'Per Hour Volumes'!$E$13</f>
        <v>525</v>
      </c>
      <c r="L5" s="93" t="n">
        <f aca="false">K5/D5*E5</f>
        <v>2.625</v>
      </c>
      <c r="M5" s="93" t="n">
        <f aca="false">K5/D5*F5</f>
        <v>10.5</v>
      </c>
      <c r="N5" s="92" t="n">
        <f aca="false">'Per Hour Volumes'!$F$13</f>
        <v>551.25</v>
      </c>
      <c r="O5" s="93" t="n">
        <f aca="false">N5/D5*E5</f>
        <v>2.75625</v>
      </c>
      <c r="P5" s="93" t="n">
        <f aca="false">N5/D5*F5</f>
        <v>11.025</v>
      </c>
      <c r="Q5" s="92" t="n">
        <f aca="false">'Per Hour Volumes'!$G$13</f>
        <v>578.8125</v>
      </c>
      <c r="R5" s="93" t="n">
        <f aca="false">Q5/D5*E5</f>
        <v>2.8940625</v>
      </c>
      <c r="S5" s="93" t="n">
        <f aca="false">Q5/D5*F5</f>
        <v>11.57625</v>
      </c>
      <c r="T5" s="92" t="n">
        <f aca="false">'Per Hour Volumes'!$H$13</f>
        <v>607.753125</v>
      </c>
      <c r="U5" s="93" t="n">
        <f aca="false">T5/D5*E5</f>
        <v>3.038765625</v>
      </c>
      <c r="V5" s="93" t="n">
        <f aca="false">T5/D5*F5</f>
        <v>12.1550625</v>
      </c>
      <c r="W5" s="94"/>
    </row>
    <row r="6" customFormat="false" ht="15" hidden="false" customHeight="true" outlineLevel="0" collapsed="false">
      <c r="B6" s="81" t="s">
        <v>177</v>
      </c>
      <c r="C6" s="81" t="s">
        <v>176</v>
      </c>
      <c r="D6" s="91" t="n">
        <v>100</v>
      </c>
      <c r="E6" s="81" t="n">
        <v>0.5</v>
      </c>
      <c r="F6" s="81" t="n">
        <v>2</v>
      </c>
      <c r="H6" s="92" t="n">
        <f aca="false">'Per Hour Volumes'!$D$13</f>
        <v>500</v>
      </c>
      <c r="I6" s="93" t="n">
        <f aca="false">H6/D6*E6</f>
        <v>2.5</v>
      </c>
      <c r="J6" s="93" t="n">
        <f aca="false">H6/D6*F6</f>
        <v>10</v>
      </c>
      <c r="K6" s="92" t="n">
        <f aca="false">'Per Hour Volumes'!$E$13</f>
        <v>525</v>
      </c>
      <c r="L6" s="93" t="n">
        <f aca="false">K6/D6*E6</f>
        <v>2.625</v>
      </c>
      <c r="M6" s="93" t="n">
        <f aca="false">K6/D6*F6</f>
        <v>10.5</v>
      </c>
      <c r="N6" s="92" t="n">
        <f aca="false">'Per Hour Volumes'!$F$13</f>
        <v>551.25</v>
      </c>
      <c r="O6" s="93" t="n">
        <f aca="false">N6/D6*E6</f>
        <v>2.75625</v>
      </c>
      <c r="P6" s="93" t="n">
        <f aca="false">N6/D6*F6</f>
        <v>11.025</v>
      </c>
      <c r="Q6" s="92" t="n">
        <f aca="false">'Per Hour Volumes'!$G$13</f>
        <v>578.8125</v>
      </c>
      <c r="R6" s="93" t="n">
        <f aca="false">Q6/D6*E6</f>
        <v>2.8940625</v>
      </c>
      <c r="S6" s="93" t="n">
        <f aca="false">Q6/D6*F6</f>
        <v>11.57625</v>
      </c>
      <c r="T6" s="92" t="n">
        <f aca="false">'Per Hour Volumes'!$H$13</f>
        <v>607.753125</v>
      </c>
      <c r="U6" s="93" t="n">
        <f aca="false">T6/D6*E6</f>
        <v>3.038765625</v>
      </c>
      <c r="V6" s="93" t="n">
        <f aca="false">T6/D6*F6</f>
        <v>12.1550625</v>
      </c>
      <c r="W6" s="94"/>
    </row>
    <row r="7" customFormat="false" ht="15" hidden="false" customHeight="true" outlineLevel="0" collapsed="false">
      <c r="B7" s="81" t="s">
        <v>178</v>
      </c>
      <c r="C7" s="81" t="s">
        <v>163</v>
      </c>
      <c r="D7" s="91" t="n">
        <v>10000</v>
      </c>
      <c r="E7" s="81" t="n">
        <v>1</v>
      </c>
      <c r="F7" s="81" t="n">
        <v>1</v>
      </c>
      <c r="H7" s="92" t="n">
        <f aca="false">'Per Hour Volumes'!$D$25</f>
        <v>100000</v>
      </c>
      <c r="I7" s="93" t="n">
        <f aca="false">H7/D7*E7</f>
        <v>10</v>
      </c>
      <c r="J7" s="93" t="n">
        <f aca="false">H7/D7*F7</f>
        <v>10</v>
      </c>
      <c r="K7" s="92" t="n">
        <f aca="false">'Per Hour Volumes'!$E$25</f>
        <v>100000</v>
      </c>
      <c r="L7" s="93" t="n">
        <f aca="false">K7/D7*E7</f>
        <v>10</v>
      </c>
      <c r="M7" s="93" t="n">
        <f aca="false">K7/D7*F7</f>
        <v>10</v>
      </c>
      <c r="N7" s="92" t="n">
        <f aca="false">'Per Hour Volumes'!$F$25</f>
        <v>100000</v>
      </c>
      <c r="O7" s="93" t="n">
        <f aca="false">N7/D7*E7</f>
        <v>10</v>
      </c>
      <c r="P7" s="93" t="n">
        <f aca="false">N7/D7*F7</f>
        <v>10</v>
      </c>
      <c r="Q7" s="92" t="n">
        <f aca="false">'Per Hour Volumes'!$G$25</f>
        <v>100000</v>
      </c>
      <c r="R7" s="93" t="n">
        <f aca="false">Q7/D7*E7</f>
        <v>10</v>
      </c>
      <c r="S7" s="93" t="n">
        <f aca="false">Q7/D7*F7</f>
        <v>10</v>
      </c>
      <c r="T7" s="92" t="n">
        <f aca="false">'Per Hour Volumes'!$H$25</f>
        <v>100000</v>
      </c>
      <c r="U7" s="93" t="n">
        <f aca="false">T7/D7*E7</f>
        <v>10</v>
      </c>
      <c r="V7" s="93" t="n">
        <f aca="false">T7/D7*F7</f>
        <v>10</v>
      </c>
      <c r="W7" s="94"/>
    </row>
    <row r="8" customFormat="false" ht="15" hidden="false" customHeight="true" outlineLevel="0" collapsed="false">
      <c r="B8" s="81" t="s">
        <v>179</v>
      </c>
      <c r="C8" s="81" t="s">
        <v>180</v>
      </c>
      <c r="D8" s="91" t="n">
        <v>3600</v>
      </c>
      <c r="E8" s="81" t="n">
        <v>1</v>
      </c>
      <c r="F8" s="81" t="n">
        <v>1</v>
      </c>
      <c r="H8" s="92" t="n">
        <v>3600</v>
      </c>
      <c r="I8" s="93" t="n">
        <f aca="false">H8/D8*E8</f>
        <v>1</v>
      </c>
      <c r="J8" s="93" t="n">
        <f aca="false">H8/D8*F8</f>
        <v>1</v>
      </c>
      <c r="K8" s="92" t="n">
        <v>3600</v>
      </c>
      <c r="L8" s="93" t="n">
        <f aca="false">K8/D8*E8</f>
        <v>1</v>
      </c>
      <c r="M8" s="93" t="n">
        <f aca="false">K8/D8*F8</f>
        <v>1</v>
      </c>
      <c r="N8" s="92" t="n">
        <v>3600</v>
      </c>
      <c r="O8" s="93" t="n">
        <f aca="false">N8/D8*E8</f>
        <v>1</v>
      </c>
      <c r="P8" s="93" t="n">
        <f aca="false">N8/D8*F8</f>
        <v>1</v>
      </c>
      <c r="Q8" s="92" t="n">
        <v>3600</v>
      </c>
      <c r="R8" s="93" t="n">
        <f aca="false">Q8/D8*E8</f>
        <v>1</v>
      </c>
      <c r="S8" s="93" t="n">
        <f aca="false">Q8/D8*F8</f>
        <v>1</v>
      </c>
      <c r="T8" s="92" t="n">
        <v>3600</v>
      </c>
      <c r="U8" s="93" t="n">
        <f aca="false">T8/D8*E8</f>
        <v>1</v>
      </c>
      <c r="V8" s="93" t="n">
        <f aca="false">T8/D8*F8</f>
        <v>1</v>
      </c>
      <c r="W8" s="94"/>
    </row>
    <row r="9" customFormat="false" ht="15" hidden="false" customHeight="true" outlineLevel="0" collapsed="false">
      <c r="B9" s="81" t="s">
        <v>181</v>
      </c>
      <c r="C9" s="81" t="s">
        <v>108</v>
      </c>
      <c r="D9" s="91" t="n">
        <v>3600</v>
      </c>
      <c r="E9" s="81" t="n">
        <v>6</v>
      </c>
      <c r="F9" s="81" t="n">
        <v>6</v>
      </c>
      <c r="H9" s="92" t="n">
        <f aca="false">'Per Hour Volumes'!$D$19</f>
        <v>4650</v>
      </c>
      <c r="I9" s="93" t="n">
        <f aca="false">H9/D9*E9</f>
        <v>7.75</v>
      </c>
      <c r="J9" s="93" t="n">
        <f aca="false">H9/D9*F9</f>
        <v>7.75</v>
      </c>
      <c r="K9" s="92" t="n">
        <f aca="false">'Per Hour Volumes'!$E$19</f>
        <v>4882.5</v>
      </c>
      <c r="L9" s="93" t="n">
        <f aca="false">K9/D9*E9</f>
        <v>8.1375</v>
      </c>
      <c r="M9" s="93" t="n">
        <f aca="false">K9/D9*F9</f>
        <v>8.1375</v>
      </c>
      <c r="N9" s="92" t="n">
        <f aca="false">'Per Hour Volumes'!$F$19</f>
        <v>5126.625</v>
      </c>
      <c r="O9" s="93" t="n">
        <f aca="false">N9/D9*E9</f>
        <v>8.544375</v>
      </c>
      <c r="P9" s="93" t="n">
        <f aca="false">N9/D9*F9</f>
        <v>8.544375</v>
      </c>
      <c r="Q9" s="92" t="n">
        <f aca="false">'Per Hour Volumes'!$G$19</f>
        <v>5382.95625</v>
      </c>
      <c r="R9" s="93" t="n">
        <f aca="false">Q9/D9*E9</f>
        <v>8.97159375</v>
      </c>
      <c r="S9" s="93" t="n">
        <f aca="false">Q9/D9*F9</f>
        <v>8.97159375</v>
      </c>
      <c r="T9" s="92" t="n">
        <f aca="false">'Per Hour Volumes'!$H$19</f>
        <v>5652.1040625</v>
      </c>
      <c r="U9" s="93" t="n">
        <f aca="false">T9/D9*E9</f>
        <v>9.4201734375</v>
      </c>
      <c r="V9" s="93" t="n">
        <f aca="false">T9/D9*F9</f>
        <v>9.4201734375</v>
      </c>
      <c r="W9" s="94"/>
    </row>
    <row r="10" customFormat="false" ht="15" hidden="false" customHeight="true" outlineLevel="0" collapsed="false">
      <c r="B10" s="81" t="s">
        <v>182</v>
      </c>
      <c r="C10" s="81" t="s">
        <v>183</v>
      </c>
      <c r="D10" s="91" t="n">
        <v>3600</v>
      </c>
      <c r="E10" s="81" t="n">
        <v>1</v>
      </c>
      <c r="F10" s="81" t="n">
        <v>1</v>
      </c>
      <c r="H10" s="92" t="n">
        <v>3600</v>
      </c>
      <c r="I10" s="93" t="n">
        <f aca="false">H10/D10*E10</f>
        <v>1</v>
      </c>
      <c r="J10" s="93" t="n">
        <f aca="false">H10/D10*F10</f>
        <v>1</v>
      </c>
      <c r="K10" s="92" t="n">
        <v>3600</v>
      </c>
      <c r="L10" s="93" t="n">
        <f aca="false">K10/D10*E10</f>
        <v>1</v>
      </c>
      <c r="M10" s="93" t="n">
        <f aca="false">K10/D10*F10</f>
        <v>1</v>
      </c>
      <c r="N10" s="92" t="n">
        <v>3600</v>
      </c>
      <c r="O10" s="93" t="n">
        <f aca="false">N10/D10*E10</f>
        <v>1</v>
      </c>
      <c r="P10" s="93" t="n">
        <f aca="false">N10/D10*F10</f>
        <v>1</v>
      </c>
      <c r="Q10" s="92" t="n">
        <v>3600</v>
      </c>
      <c r="R10" s="93" t="n">
        <f aca="false">Q10/D10*E10</f>
        <v>1</v>
      </c>
      <c r="S10" s="93" t="n">
        <f aca="false">Q10/D10*F10</f>
        <v>1</v>
      </c>
      <c r="T10" s="92" t="n">
        <v>3600</v>
      </c>
      <c r="U10" s="93" t="n">
        <f aca="false">T10/D10*E10</f>
        <v>1</v>
      </c>
      <c r="V10" s="93" t="n">
        <f aca="false">T10/D10*F10</f>
        <v>1</v>
      </c>
      <c r="W10" s="94"/>
    </row>
    <row r="11" customFormat="false" ht="15" hidden="false" customHeight="true" outlineLevel="0" collapsed="false">
      <c r="B11" s="81" t="s">
        <v>184</v>
      </c>
      <c r="C11" s="81" t="s">
        <v>165</v>
      </c>
      <c r="D11" s="91" t="n">
        <v>1000</v>
      </c>
      <c r="E11" s="81" t="n">
        <v>0.1</v>
      </c>
      <c r="F11" s="81" t="n">
        <v>0.1</v>
      </c>
      <c r="H11" s="92" t="n">
        <f aca="false">'Per Hour Volumes'!$D$27</f>
        <v>2281.6588125</v>
      </c>
      <c r="I11" s="93" t="n">
        <f aca="false">H11/D11*E11</f>
        <v>0.22816588125</v>
      </c>
      <c r="J11" s="93" t="n">
        <f aca="false">H11/D11*F11</f>
        <v>0.22816588125</v>
      </c>
      <c r="K11" s="92" t="n">
        <f aca="false">'Per Hour Volumes'!$E$27</f>
        <v>2509.76219375</v>
      </c>
      <c r="L11" s="93" t="n">
        <f aca="false">K11/D11*E11</f>
        <v>0.250976219375</v>
      </c>
      <c r="M11" s="93" t="n">
        <f aca="false">K11/D11*F11</f>
        <v>0.250976219375</v>
      </c>
      <c r="N11" s="92" t="n">
        <f aca="false">'Per Hour Volumes'!$F$27</f>
        <v>2760.672788125</v>
      </c>
      <c r="O11" s="93" t="n">
        <f aca="false">N11/D11*E11</f>
        <v>0.2760672788125</v>
      </c>
      <c r="P11" s="93" t="n">
        <f aca="false">N11/D11*F11</f>
        <v>0.2760672788125</v>
      </c>
      <c r="Q11" s="92" t="n">
        <f aca="false">'Per Hour Volumes'!$G$27</f>
        <v>3036.6711606875</v>
      </c>
      <c r="R11" s="93" t="n">
        <f aca="false">Q11/D11*E11</f>
        <v>0.30366711606875</v>
      </c>
      <c r="S11" s="93" t="n">
        <f aca="false">Q11/D11*F11</f>
        <v>0.30366711606875</v>
      </c>
      <c r="T11" s="92" t="n">
        <f aca="false">'Per Hour Volumes'!$H$27</f>
        <v>3340.26592519375</v>
      </c>
      <c r="U11" s="93" t="n">
        <f aca="false">T11/D11*E11</f>
        <v>0.334026592519375</v>
      </c>
      <c r="V11" s="93" t="n">
        <f aca="false">T11/D11*F11</f>
        <v>0.334026592519375</v>
      </c>
      <c r="W11" s="94"/>
    </row>
    <row r="12" customFormat="false" ht="15" hidden="false" customHeight="true" outlineLevel="0" collapsed="false">
      <c r="B12" s="81" t="s">
        <v>185</v>
      </c>
      <c r="C12" s="81" t="s">
        <v>186</v>
      </c>
      <c r="D12" s="91" t="n">
        <v>0</v>
      </c>
      <c r="E12" s="81" t="n">
        <v>0</v>
      </c>
      <c r="F12" s="81" t="n">
        <v>0</v>
      </c>
      <c r="H12" s="92" t="n">
        <v>0</v>
      </c>
      <c r="I12" s="93" t="n">
        <v>0</v>
      </c>
      <c r="J12" s="93" t="n">
        <v>0</v>
      </c>
      <c r="K12" s="92" t="n">
        <v>0</v>
      </c>
      <c r="L12" s="93" t="n">
        <v>0</v>
      </c>
      <c r="M12" s="93" t="n">
        <v>0</v>
      </c>
      <c r="N12" s="92" t="n">
        <v>0</v>
      </c>
      <c r="O12" s="93" t="n">
        <v>0</v>
      </c>
      <c r="P12" s="93" t="n">
        <v>0</v>
      </c>
      <c r="Q12" s="92" t="n">
        <v>0</v>
      </c>
      <c r="R12" s="93" t="n">
        <v>0</v>
      </c>
      <c r="S12" s="93" t="n">
        <v>0</v>
      </c>
      <c r="T12" s="92" t="n">
        <v>0</v>
      </c>
      <c r="U12" s="93" t="n">
        <v>0</v>
      </c>
      <c r="V12" s="93" t="n">
        <v>0</v>
      </c>
      <c r="W12" s="94"/>
    </row>
    <row r="13" customFormat="false" ht="15" hidden="false" customHeight="true" outlineLevel="0" collapsed="false">
      <c r="B13" s="81" t="s">
        <v>187</v>
      </c>
      <c r="C13" s="81" t="s">
        <v>114</v>
      </c>
      <c r="D13" s="91" t="n">
        <v>1000</v>
      </c>
      <c r="E13" s="81" t="n">
        <v>0.1</v>
      </c>
      <c r="F13" s="81" t="n">
        <v>0.1</v>
      </c>
      <c r="H13" s="92" t="n">
        <f aca="false">'Per Hour Volumes'!$D$22</f>
        <v>2281.6588125</v>
      </c>
      <c r="I13" s="93" t="n">
        <f aca="false">H13/D13*E13</f>
        <v>0.22816588125</v>
      </c>
      <c r="J13" s="93" t="n">
        <f aca="false">H13/D13*F13</f>
        <v>0.22816588125</v>
      </c>
      <c r="K13" s="92" t="n">
        <f aca="false">'Per Hour Volumes'!$E$22</f>
        <v>2509.76219375</v>
      </c>
      <c r="L13" s="93" t="n">
        <f aca="false">K13/D13*E13</f>
        <v>0.250976219375</v>
      </c>
      <c r="M13" s="93" t="n">
        <f aca="false">K13/D13*F13</f>
        <v>0.250976219375</v>
      </c>
      <c r="N13" s="92" t="n">
        <f aca="false">'Per Hour Volumes'!$F$22</f>
        <v>2760.672788125</v>
      </c>
      <c r="O13" s="93" t="n">
        <f aca="false">N13/D13*E13</f>
        <v>0.2760672788125</v>
      </c>
      <c r="P13" s="93" t="n">
        <f aca="false">N13/D13*F13</f>
        <v>0.2760672788125</v>
      </c>
      <c r="Q13" s="92" t="n">
        <f aca="false">'Per Hour Volumes'!$G$22</f>
        <v>3036.6711606875</v>
      </c>
      <c r="R13" s="93" t="n">
        <f aca="false">Q13/D13*E13</f>
        <v>0.30366711606875</v>
      </c>
      <c r="S13" s="93" t="n">
        <f aca="false">Q13/D13*F13</f>
        <v>0.30366711606875</v>
      </c>
      <c r="T13" s="92" t="n">
        <f aca="false">'Per Hour Volumes'!$H$22</f>
        <v>3340.26592519375</v>
      </c>
      <c r="U13" s="93" t="n">
        <f aca="false">T13/D13*E13</f>
        <v>0.334026592519375</v>
      </c>
      <c r="V13" s="93" t="n">
        <f aca="false">T13/D13*F13</f>
        <v>0.334026592519375</v>
      </c>
      <c r="W13" s="94"/>
    </row>
    <row r="14" customFormat="false" ht="15" hidden="false" customHeight="true" outlineLevel="0" collapsed="false">
      <c r="B14" s="81" t="s">
        <v>188</v>
      </c>
      <c r="C14" s="81" t="s">
        <v>189</v>
      </c>
      <c r="D14" s="91" t="n">
        <v>1000</v>
      </c>
      <c r="E14" s="81" t="n">
        <v>0.2</v>
      </c>
      <c r="F14" s="81" t="n">
        <v>0.5</v>
      </c>
      <c r="H14" s="92" t="n">
        <f aca="false">'Per Hour Volumes'!$D$24</f>
        <v>6700</v>
      </c>
      <c r="I14" s="93" t="n">
        <f aca="false">H14/D14*E14</f>
        <v>1.34</v>
      </c>
      <c r="J14" s="93" t="n">
        <f aca="false">H14/D14*F14</f>
        <v>3.35</v>
      </c>
      <c r="K14" s="92" t="n">
        <f aca="false">'Per Hour Volumes'!$E$24</f>
        <v>7369.375</v>
      </c>
      <c r="L14" s="93" t="n">
        <f aca="false">K14/D14*E14</f>
        <v>1.473875</v>
      </c>
      <c r="M14" s="93" t="n">
        <f aca="false">K14/D14*F14</f>
        <v>3.6846875</v>
      </c>
      <c r="N14" s="92" t="n">
        <f aca="false">'Per Hour Volumes'!$F$24</f>
        <v>8105.65625</v>
      </c>
      <c r="O14" s="93" t="n">
        <f aca="false">N14/D14*E14</f>
        <v>1.62113125</v>
      </c>
      <c r="P14" s="93" t="n">
        <f aca="false">N14/D14*F14</f>
        <v>4.052828125</v>
      </c>
      <c r="Q14" s="92" t="n">
        <f aca="false">'Per Hour Volumes'!$G$24</f>
        <v>8915.5328125</v>
      </c>
      <c r="R14" s="93" t="n">
        <f aca="false">Q14/D14*E14</f>
        <v>1.7831065625</v>
      </c>
      <c r="S14" s="93" t="n">
        <f aca="false">Q14/D14*F14</f>
        <v>4.45776640625</v>
      </c>
      <c r="T14" s="92" t="n">
        <f aca="false">'Per Hour Volumes'!$H$24</f>
        <v>9806.36257812501</v>
      </c>
      <c r="U14" s="93" t="n">
        <f aca="false">T14/D14*E14</f>
        <v>1.961272515625</v>
      </c>
      <c r="V14" s="93" t="n">
        <f aca="false">T14/D14*F14</f>
        <v>4.9031812890625</v>
      </c>
      <c r="W14" s="94"/>
    </row>
    <row r="15" customFormat="false" ht="15" hidden="false" customHeight="true" outlineLevel="0" collapsed="false">
      <c r="B15" s="81" t="s">
        <v>190</v>
      </c>
      <c r="C15" s="81" t="s">
        <v>114</v>
      </c>
      <c r="D15" s="91" t="n">
        <v>1000</v>
      </c>
      <c r="E15" s="81" t="n">
        <v>0.1</v>
      </c>
      <c r="F15" s="81" t="n">
        <v>0.1</v>
      </c>
      <c r="H15" s="92" t="n">
        <f aca="false">'Per Hour Volumes'!$D$22</f>
        <v>2281.6588125</v>
      </c>
      <c r="I15" s="93" t="n">
        <f aca="false">H15/D15*E15</f>
        <v>0.22816588125</v>
      </c>
      <c r="J15" s="93" t="n">
        <f aca="false">H15/D15*F15</f>
        <v>0.22816588125</v>
      </c>
      <c r="K15" s="92" t="n">
        <f aca="false">'Per Hour Volumes'!$E$22</f>
        <v>2509.76219375</v>
      </c>
      <c r="L15" s="93" t="n">
        <f aca="false">K15/D15*E15</f>
        <v>0.250976219375</v>
      </c>
      <c r="M15" s="93" t="n">
        <f aca="false">K15/D15*F15</f>
        <v>0.250976219375</v>
      </c>
      <c r="N15" s="92" t="n">
        <f aca="false">'Per Hour Volumes'!$F$22</f>
        <v>2760.672788125</v>
      </c>
      <c r="O15" s="93" t="n">
        <f aca="false">N15/D15*E15</f>
        <v>0.2760672788125</v>
      </c>
      <c r="P15" s="93" t="n">
        <f aca="false">N15/D15*F15</f>
        <v>0.2760672788125</v>
      </c>
      <c r="Q15" s="92" t="n">
        <f aca="false">'Per Hour Volumes'!$G$22</f>
        <v>3036.6711606875</v>
      </c>
      <c r="R15" s="93" t="n">
        <f aca="false">Q15/D15*E15</f>
        <v>0.30366711606875</v>
      </c>
      <c r="S15" s="93" t="n">
        <f aca="false">Q15/D15*F15</f>
        <v>0.30366711606875</v>
      </c>
      <c r="T15" s="92" t="n">
        <f aca="false">'Per Hour Volumes'!$H$22</f>
        <v>3340.26592519375</v>
      </c>
      <c r="U15" s="93" t="n">
        <f aca="false">T15/D15*E15</f>
        <v>0.334026592519375</v>
      </c>
      <c r="V15" s="93" t="n">
        <f aca="false">T15/D15*F15</f>
        <v>0.334026592519375</v>
      </c>
      <c r="W15" s="94"/>
    </row>
    <row r="16" customFormat="false" ht="15" hidden="false" customHeight="true" outlineLevel="0" collapsed="false">
      <c r="B16" s="81" t="s">
        <v>191</v>
      </c>
      <c r="C16" s="81" t="s">
        <v>164</v>
      </c>
      <c r="D16" s="91" t="n">
        <v>1000</v>
      </c>
      <c r="E16" s="81" t="n">
        <v>0.2</v>
      </c>
      <c r="F16" s="81" t="n">
        <v>0.4</v>
      </c>
      <c r="H16" s="92" t="n">
        <f aca="false">'Per Hour Volumes'!$D$26</f>
        <v>10593.317625</v>
      </c>
      <c r="I16" s="93" t="n">
        <f aca="false">H16/D16*E16</f>
        <v>2.118663525</v>
      </c>
      <c r="J16" s="93" t="n">
        <f aca="false">H16/D16*F16</f>
        <v>4.23732705</v>
      </c>
      <c r="K16" s="92" t="n">
        <f aca="false">'Per Hour Volumes'!$E$26</f>
        <v>11651.9618875</v>
      </c>
      <c r="L16" s="93" t="n">
        <f aca="false">K16/D16*E16</f>
        <v>2.3303923775</v>
      </c>
      <c r="M16" s="93" t="n">
        <f aca="false">K16/D16*F16</f>
        <v>4.660784755</v>
      </c>
      <c r="N16" s="92" t="n">
        <f aca="false">'Per Hour Volumes'!$F$26</f>
        <v>12816.43620125</v>
      </c>
      <c r="O16" s="93" t="n">
        <f aca="false">N16/D16*E16</f>
        <v>2.56328724025</v>
      </c>
      <c r="P16" s="93" t="n">
        <f aca="false">N16/D16*F16</f>
        <v>5.1265744805</v>
      </c>
      <c r="Q16" s="92" t="n">
        <f aca="false">'Per Hour Volumes'!$G$26</f>
        <v>14097.321852625</v>
      </c>
      <c r="R16" s="93" t="n">
        <f aca="false">Q16/D16*E16</f>
        <v>2.819464370525</v>
      </c>
      <c r="S16" s="93" t="n">
        <f aca="false">Q16/D16*F16</f>
        <v>5.63892874105</v>
      </c>
      <c r="T16" s="92" t="n">
        <f aca="false">'Per Hour Volumes'!$H$26</f>
        <v>15506.2581707</v>
      </c>
      <c r="U16" s="93" t="n">
        <f aca="false">T16/D16*E16</f>
        <v>3.10125163414</v>
      </c>
      <c r="V16" s="93" t="n">
        <f aca="false">T16/D16*F16</f>
        <v>6.20250326828</v>
      </c>
      <c r="W16" s="94"/>
    </row>
    <row r="17" customFormat="false" ht="15" hidden="false" customHeight="true" outlineLevel="0" collapsed="false">
      <c r="B17" s="81" t="s">
        <v>192</v>
      </c>
      <c r="C17" s="81" t="s">
        <v>193</v>
      </c>
      <c r="D17" s="91" t="n">
        <v>1000</v>
      </c>
      <c r="E17" s="81" t="n">
        <v>0.2</v>
      </c>
      <c r="F17" s="81" t="n">
        <v>0.2</v>
      </c>
      <c r="H17" s="92" t="n">
        <f aca="false">'Per Hour Volumes'!$D$21</f>
        <v>1611.6588125</v>
      </c>
      <c r="I17" s="93" t="n">
        <f aca="false">H17/D17*E17</f>
        <v>0.3223317625</v>
      </c>
      <c r="J17" s="93" t="n">
        <f aca="false">H17/D17*F17</f>
        <v>0.3223317625</v>
      </c>
      <c r="K17" s="92" t="n">
        <f aca="false">'Per Hour Volumes'!$E$21</f>
        <v>1772.82469375</v>
      </c>
      <c r="L17" s="93" t="n">
        <f aca="false">K17/D17*E17</f>
        <v>0.35456493875</v>
      </c>
      <c r="M17" s="93" t="n">
        <f aca="false">K17/D17*F17</f>
        <v>0.35456493875</v>
      </c>
      <c r="N17" s="92" t="n">
        <f aca="false">'Per Hour Volumes'!$F$21</f>
        <v>1950.107163125</v>
      </c>
      <c r="O17" s="93" t="n">
        <f aca="false">N17/D17*E17</f>
        <v>0.390021432625</v>
      </c>
      <c r="P17" s="93" t="n">
        <f aca="false">N17/D17*F17</f>
        <v>0.390021432625</v>
      </c>
      <c r="Q17" s="92" t="n">
        <f aca="false">'Per Hour Volumes'!$G$21</f>
        <v>2145.1178794375</v>
      </c>
      <c r="R17" s="93" t="n">
        <f aca="false">Q17/D17*E17</f>
        <v>0.4290235758875</v>
      </c>
      <c r="S17" s="93" t="n">
        <f aca="false">Q17/D17*F17</f>
        <v>0.4290235758875</v>
      </c>
      <c r="T17" s="92" t="n">
        <f aca="false">'Per Hour Volumes'!$H$21</f>
        <v>2359.62966738125</v>
      </c>
      <c r="U17" s="93" t="n">
        <f aca="false">T17/D17*E17</f>
        <v>0.47192593347625</v>
      </c>
      <c r="V17" s="93" t="n">
        <f aca="false">T17/D17*F17</f>
        <v>0.47192593347625</v>
      </c>
      <c r="W17" s="94"/>
    </row>
    <row r="18" customFormat="false" ht="15" hidden="false" customHeight="true" outlineLevel="0" collapsed="false">
      <c r="B18" s="81" t="s">
        <v>194</v>
      </c>
      <c r="C18" s="81" t="s">
        <v>193</v>
      </c>
      <c r="D18" s="91" t="n">
        <v>1000</v>
      </c>
      <c r="E18" s="81" t="n">
        <v>0.1</v>
      </c>
      <c r="F18" s="81" t="n">
        <v>0.1</v>
      </c>
      <c r="H18" s="92" t="n">
        <f aca="false">'Per Hour Volumes'!$D$21</f>
        <v>1611.6588125</v>
      </c>
      <c r="I18" s="93" t="n">
        <f aca="false">H18/D18*E18</f>
        <v>0.16116588125</v>
      </c>
      <c r="J18" s="93" t="n">
        <f aca="false">H18/D18*F18</f>
        <v>0.16116588125</v>
      </c>
      <c r="K18" s="92" t="n">
        <f aca="false">'Per Hour Volumes'!$E$21</f>
        <v>1772.82469375</v>
      </c>
      <c r="L18" s="93" t="n">
        <f aca="false">K18/D18*E18</f>
        <v>0.177282469375</v>
      </c>
      <c r="M18" s="93" t="n">
        <f aca="false">K18/D18*F18</f>
        <v>0.177282469375</v>
      </c>
      <c r="N18" s="92" t="n">
        <f aca="false">'Per Hour Volumes'!$F$21</f>
        <v>1950.107163125</v>
      </c>
      <c r="O18" s="93" t="n">
        <f aca="false">N18/D18*E18</f>
        <v>0.1950107163125</v>
      </c>
      <c r="P18" s="93" t="n">
        <f aca="false">N18/D18*F18</f>
        <v>0.1950107163125</v>
      </c>
      <c r="Q18" s="92" t="n">
        <f aca="false">'Per Hour Volumes'!$G$21</f>
        <v>2145.1178794375</v>
      </c>
      <c r="R18" s="93" t="n">
        <f aca="false">Q18/D18*E18</f>
        <v>0.21451178794375</v>
      </c>
      <c r="S18" s="93" t="n">
        <f aca="false">Q18/D18*F18</f>
        <v>0.21451178794375</v>
      </c>
      <c r="T18" s="92" t="n">
        <f aca="false">'Per Hour Volumes'!$H$21</f>
        <v>2359.62966738125</v>
      </c>
      <c r="U18" s="93" t="n">
        <f aca="false">T18/D18*E18</f>
        <v>0.235962966738125</v>
      </c>
      <c r="V18" s="93" t="n">
        <f aca="false">T18/D18*F18</f>
        <v>0.235962966738125</v>
      </c>
      <c r="W18" s="94"/>
    </row>
    <row r="19" customFormat="false" ht="15" hidden="false" customHeight="true" outlineLevel="0" collapsed="false">
      <c r="B19" s="81" t="s">
        <v>195</v>
      </c>
      <c r="C19" s="81" t="s">
        <v>193</v>
      </c>
      <c r="D19" s="91" t="n">
        <v>1000</v>
      </c>
      <c r="E19" s="81" t="n">
        <v>0.1</v>
      </c>
      <c r="F19" s="81" t="n">
        <v>0.1</v>
      </c>
      <c r="H19" s="92" t="n">
        <f aca="false">'Per Hour Volumes'!$D$21</f>
        <v>1611.6588125</v>
      </c>
      <c r="I19" s="93" t="n">
        <f aca="false">H19/D19*E19</f>
        <v>0.16116588125</v>
      </c>
      <c r="J19" s="93" t="n">
        <f aca="false">H19/D19*F19</f>
        <v>0.16116588125</v>
      </c>
      <c r="K19" s="92" t="n">
        <f aca="false">'Per Hour Volumes'!$E$21</f>
        <v>1772.82469375</v>
      </c>
      <c r="L19" s="93" t="n">
        <f aca="false">K19/D19*E19</f>
        <v>0.177282469375</v>
      </c>
      <c r="M19" s="93" t="n">
        <f aca="false">K19/D19*F19</f>
        <v>0.177282469375</v>
      </c>
      <c r="N19" s="92" t="n">
        <f aca="false">'Per Hour Volumes'!$F$21</f>
        <v>1950.107163125</v>
      </c>
      <c r="O19" s="93" t="n">
        <f aca="false">N19/D19*E19</f>
        <v>0.1950107163125</v>
      </c>
      <c r="P19" s="93" t="n">
        <f aca="false">N19/D19*F19</f>
        <v>0.1950107163125</v>
      </c>
      <c r="Q19" s="92" t="n">
        <f aca="false">'Per Hour Volumes'!$G$21</f>
        <v>2145.1178794375</v>
      </c>
      <c r="R19" s="93" t="n">
        <f aca="false">Q19/D19*E19</f>
        <v>0.21451178794375</v>
      </c>
      <c r="S19" s="93" t="n">
        <f aca="false">Q19/D19*F19</f>
        <v>0.21451178794375</v>
      </c>
      <c r="T19" s="92" t="n">
        <f aca="false">'Per Hour Volumes'!$H$21</f>
        <v>2359.62966738125</v>
      </c>
      <c r="U19" s="93" t="n">
        <f aca="false">T19/D19*E19</f>
        <v>0.235962966738125</v>
      </c>
      <c r="V19" s="93" t="n">
        <f aca="false">T19/D19*F19</f>
        <v>0.235962966738125</v>
      </c>
      <c r="W19" s="94"/>
    </row>
    <row r="20" customFormat="false" ht="15" hidden="false" customHeight="true" outlineLevel="0" collapsed="false">
      <c r="B20" s="81" t="s">
        <v>196</v>
      </c>
      <c r="C20" s="81" t="s">
        <v>193</v>
      </c>
      <c r="D20" s="91" t="n">
        <v>1000</v>
      </c>
      <c r="E20" s="81" t="n">
        <v>0.1</v>
      </c>
      <c r="F20" s="81" t="n">
        <v>0.1</v>
      </c>
      <c r="H20" s="92" t="n">
        <f aca="false">'Per Hour Volumes'!$D$21</f>
        <v>1611.6588125</v>
      </c>
      <c r="I20" s="93" t="n">
        <f aca="false">H20/D20*E20</f>
        <v>0.16116588125</v>
      </c>
      <c r="J20" s="93" t="n">
        <f aca="false">H20/D20*F20</f>
        <v>0.16116588125</v>
      </c>
      <c r="K20" s="92" t="n">
        <f aca="false">'Per Hour Volumes'!$E$21</f>
        <v>1772.82469375</v>
      </c>
      <c r="L20" s="93" t="n">
        <f aca="false">K20/D20*E20</f>
        <v>0.177282469375</v>
      </c>
      <c r="M20" s="93" t="n">
        <f aca="false">K20/D20*F20</f>
        <v>0.177282469375</v>
      </c>
      <c r="N20" s="92" t="n">
        <f aca="false">'Per Hour Volumes'!$F$21</f>
        <v>1950.107163125</v>
      </c>
      <c r="O20" s="93" t="n">
        <f aca="false">N20/D20*E20</f>
        <v>0.1950107163125</v>
      </c>
      <c r="P20" s="93" t="n">
        <f aca="false">N20/D20*F20</f>
        <v>0.1950107163125</v>
      </c>
      <c r="Q20" s="92" t="n">
        <f aca="false">'Per Hour Volumes'!$G$21</f>
        <v>2145.1178794375</v>
      </c>
      <c r="R20" s="93" t="n">
        <f aca="false">Q20/D20*E20</f>
        <v>0.21451178794375</v>
      </c>
      <c r="S20" s="93" t="n">
        <f aca="false">Q20/D20*F20</f>
        <v>0.21451178794375</v>
      </c>
      <c r="T20" s="92" t="n">
        <f aca="false">'Per Hour Volumes'!$H$21</f>
        <v>2359.62966738125</v>
      </c>
      <c r="U20" s="93" t="n">
        <f aca="false">T20/D20*E20</f>
        <v>0.235962966738125</v>
      </c>
      <c r="V20" s="93" t="n">
        <f aca="false">T20/D20*F20</f>
        <v>0.235962966738125</v>
      </c>
      <c r="W20" s="94"/>
    </row>
    <row r="21" customFormat="false" ht="16.5" hidden="false" customHeight="true" outlineLevel="0" collapsed="false">
      <c r="B21" s="81" t="s">
        <v>197</v>
      </c>
      <c r="C21" s="81"/>
      <c r="D21" s="91" t="n">
        <v>1</v>
      </c>
      <c r="E21" s="81" t="n">
        <v>8</v>
      </c>
      <c r="F21" s="81" t="n">
        <v>16</v>
      </c>
      <c r="H21" s="92" t="n">
        <v>1</v>
      </c>
      <c r="I21" s="93" t="n">
        <f aca="false">H21/D21*E21</f>
        <v>8</v>
      </c>
      <c r="J21" s="93" t="n">
        <f aca="false">H21/D21*F21</f>
        <v>16</v>
      </c>
      <c r="K21" s="92" t="n">
        <v>1</v>
      </c>
      <c r="L21" s="93" t="n">
        <f aca="false">K21/D21*E21</f>
        <v>8</v>
      </c>
      <c r="M21" s="93" t="n">
        <f aca="false">K21/D21*F21</f>
        <v>16</v>
      </c>
      <c r="N21" s="92" t="n">
        <v>1</v>
      </c>
      <c r="O21" s="93" t="n">
        <f aca="false">N21/D21*E21</f>
        <v>8</v>
      </c>
      <c r="P21" s="93" t="n">
        <f aca="false">N21/D21*F21</f>
        <v>16</v>
      </c>
      <c r="Q21" s="92" t="n">
        <v>1</v>
      </c>
      <c r="R21" s="93" t="n">
        <f aca="false">Q21/D21*E21</f>
        <v>8</v>
      </c>
      <c r="S21" s="93" t="n">
        <f aca="false">Q21/D21*F21</f>
        <v>16</v>
      </c>
      <c r="T21" s="92" t="n">
        <v>1</v>
      </c>
      <c r="U21" s="93" t="n">
        <f aca="false">T21/D21*E21</f>
        <v>8</v>
      </c>
      <c r="V21" s="93" t="n">
        <f aca="false">T21/D21*F21</f>
        <v>16</v>
      </c>
      <c r="W21" s="95" t="s">
        <v>198</v>
      </c>
    </row>
    <row r="22" customFormat="false" ht="15" hidden="false" customHeight="true" outlineLevel="0" collapsed="false">
      <c r="B22" s="81" t="s">
        <v>199</v>
      </c>
      <c r="C22" s="81"/>
      <c r="D22" s="91" t="n">
        <v>1</v>
      </c>
      <c r="E22" s="81" t="n">
        <v>1</v>
      </c>
      <c r="F22" s="81" t="n">
        <v>2</v>
      </c>
      <c r="H22" s="92" t="n">
        <v>1</v>
      </c>
      <c r="I22" s="93" t="n">
        <f aca="false">H22/D22*E22</f>
        <v>1</v>
      </c>
      <c r="J22" s="93" t="n">
        <f aca="false">H22/D22*F22</f>
        <v>2</v>
      </c>
      <c r="K22" s="92" t="n">
        <v>1</v>
      </c>
      <c r="L22" s="93" t="n">
        <f aca="false">K22/D22*E22</f>
        <v>1</v>
      </c>
      <c r="M22" s="93" t="n">
        <f aca="false">K22/D22*F22</f>
        <v>2</v>
      </c>
      <c r="N22" s="92" t="n">
        <v>1</v>
      </c>
      <c r="O22" s="93" t="n">
        <f aca="false">N22/D22*E22</f>
        <v>1</v>
      </c>
      <c r="P22" s="93" t="n">
        <f aca="false">N22/D22*F22</f>
        <v>2</v>
      </c>
      <c r="Q22" s="92" t="n">
        <v>1</v>
      </c>
      <c r="R22" s="93" t="n">
        <f aca="false">Q22/D22*E22</f>
        <v>1</v>
      </c>
      <c r="S22" s="93" t="n">
        <f aca="false">Q22/D22*F22</f>
        <v>2</v>
      </c>
      <c r="T22" s="92" t="n">
        <v>1</v>
      </c>
      <c r="U22" s="93" t="n">
        <f aca="false">T22/D22*E22</f>
        <v>1</v>
      </c>
      <c r="V22" s="93" t="n">
        <f aca="false">T22/D22*F22</f>
        <v>2</v>
      </c>
      <c r="W22" s="94"/>
    </row>
    <row r="23" customFormat="false" ht="15" hidden="false" customHeight="true" outlineLevel="0" collapsed="false">
      <c r="B23" s="81" t="s">
        <v>200</v>
      </c>
      <c r="C23" s="81"/>
      <c r="D23" s="91" t="n">
        <v>1</v>
      </c>
      <c r="E23" s="81" t="n">
        <v>1</v>
      </c>
      <c r="F23" s="81" t="n">
        <v>2</v>
      </c>
      <c r="H23" s="92" t="n">
        <v>1</v>
      </c>
      <c r="I23" s="93" t="n">
        <f aca="false">H23/D23*E23</f>
        <v>1</v>
      </c>
      <c r="J23" s="93" t="n">
        <f aca="false">H23/D23*F23</f>
        <v>2</v>
      </c>
      <c r="K23" s="92" t="n">
        <v>1</v>
      </c>
      <c r="L23" s="93" t="n">
        <f aca="false">K23/D23*E23</f>
        <v>1</v>
      </c>
      <c r="M23" s="93" t="n">
        <f aca="false">K23/D23*F23</f>
        <v>2</v>
      </c>
      <c r="N23" s="92" t="n">
        <v>1</v>
      </c>
      <c r="O23" s="93" t="n">
        <f aca="false">N23/D23*E23</f>
        <v>1</v>
      </c>
      <c r="P23" s="93" t="n">
        <f aca="false">N23/D23*F23</f>
        <v>2</v>
      </c>
      <c r="Q23" s="92" t="n">
        <v>1</v>
      </c>
      <c r="R23" s="93" t="n">
        <f aca="false">Q23/D23*E23</f>
        <v>1</v>
      </c>
      <c r="S23" s="93" t="n">
        <f aca="false">Q23/D23*F23</f>
        <v>2</v>
      </c>
      <c r="T23" s="92" t="n">
        <v>1</v>
      </c>
      <c r="U23" s="93" t="n">
        <f aca="false">T23/D23*E23</f>
        <v>1</v>
      </c>
      <c r="V23" s="93" t="n">
        <f aca="false">T23/D23*F23</f>
        <v>2</v>
      </c>
      <c r="W23" s="94"/>
    </row>
    <row r="24" customFormat="false" ht="15" hidden="false" customHeight="true" outlineLevel="0" collapsed="false">
      <c r="H24" s="96" t="s">
        <v>201</v>
      </c>
      <c r="I24" s="97" t="n">
        <f aca="false">SUM(I4:I23)</f>
        <v>95.498990575</v>
      </c>
      <c r="J24" s="97" t="n">
        <f aca="false">SUM(J4:J23)</f>
        <v>171.1276541</v>
      </c>
      <c r="K24" s="96"/>
      <c r="L24" s="97" t="n">
        <f aca="false">SUM(L4:L23)</f>
        <v>99.4211083825</v>
      </c>
      <c r="M24" s="97" t="n">
        <f aca="false">SUM(M4:M23)</f>
        <v>178.53731326</v>
      </c>
      <c r="N24" s="96"/>
      <c r="O24" s="97" t="n">
        <f aca="false">SUM(O4:O23)</f>
        <v>103.56404890825</v>
      </c>
      <c r="P24" s="97" t="n">
        <f aca="false">SUM(P4:P23)</f>
        <v>186.3627830235</v>
      </c>
      <c r="Q24" s="96"/>
      <c r="R24" s="97" t="n">
        <f aca="false">SUM(R4:R23)</f>
        <v>107.94132497095</v>
      </c>
      <c r="S24" s="97" t="n">
        <f aca="false">SUM(S4:S23)</f>
        <v>194.629386685225</v>
      </c>
      <c r="T24" s="96"/>
      <c r="U24" s="97" t="n">
        <f aca="false">SUM(U4:U23)</f>
        <v>112.567372198514</v>
      </c>
      <c r="V24" s="97" t="n">
        <f aca="false">SUM(V4:V23)</f>
        <v>203.364166981091</v>
      </c>
      <c r="W24" s="94"/>
    </row>
    <row r="26" customFormat="false" ht="15" hidden="false" customHeight="true" outlineLevel="0" collapsed="false">
      <c r="C26" s="98" t="s">
        <v>202</v>
      </c>
      <c r="D26" s="99"/>
      <c r="E26" s="99"/>
      <c r="F26" s="100"/>
      <c r="G26" s="100"/>
      <c r="H26" s="101"/>
    </row>
    <row r="27" customFormat="false" ht="15" hidden="false" customHeight="true" outlineLevel="0" collapsed="false">
      <c r="C27" s="102" t="s">
        <v>203</v>
      </c>
      <c r="D27" s="103" t="s">
        <v>70</v>
      </c>
      <c r="E27" s="103" t="s">
        <v>71</v>
      </c>
      <c r="F27" s="103" t="s">
        <v>72</v>
      </c>
      <c r="G27" s="103" t="s">
        <v>73</v>
      </c>
      <c r="H27" s="103" t="s">
        <v>74</v>
      </c>
    </row>
    <row r="28" customFormat="false" ht="15" hidden="false" customHeight="true" outlineLevel="0" collapsed="false">
      <c r="C28" s="104" t="s">
        <v>204</v>
      </c>
      <c r="D28" s="105" t="n">
        <f aca="false">ROUNDUP(I24,0)</f>
        <v>96</v>
      </c>
      <c r="E28" s="105" t="n">
        <f aca="false">ROUNDUP(L24,0)</f>
        <v>100</v>
      </c>
      <c r="F28" s="105" t="n">
        <f aca="false">ROUNDUP(O24,0)</f>
        <v>104</v>
      </c>
      <c r="G28" s="105" t="n">
        <f aca="false">ROUNDUP(R24,0)</f>
        <v>108</v>
      </c>
      <c r="H28" s="105" t="n">
        <f aca="false">ROUNDUP(U24,0)</f>
        <v>113</v>
      </c>
    </row>
    <row r="29" customFormat="false" ht="15" hidden="false" customHeight="true" outlineLevel="0" collapsed="false">
      <c r="C29" s="104" t="s">
        <v>205</v>
      </c>
      <c r="D29" s="105" t="n">
        <f aca="false">ROUNDUP(J24,0)</f>
        <v>172</v>
      </c>
      <c r="E29" s="105" t="n">
        <f aca="false">ROUNDUP(M24,0)</f>
        <v>179</v>
      </c>
      <c r="F29" s="105" t="n">
        <f aca="false">ROUNDUP(P24,0)</f>
        <v>187</v>
      </c>
      <c r="G29" s="105" t="n">
        <f aca="false">S24</f>
        <v>194.629386685225</v>
      </c>
      <c r="H29" s="105" t="n">
        <f aca="false">ROUNDUP(V24,0)</f>
        <v>204</v>
      </c>
    </row>
  </sheetData>
  <sheetProtection algorithmName="SHA-512" hashValue="voGOdw6o1g/wvdGPP+5IfQABf4dJPu8anox9pm9VU4RVNbUyoqmeqJisIt/BFnJPdv9EpY6mxh6aDekgIwpxQA==" saltValue="eWozOV49pZRR2N56pNmY7g==" spinCount="100000" sheet="true" objects="true" scenarios="true"/>
  <mergeCells count="1">
    <mergeCell ref="H2:L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T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71"/>
    <col collapsed="false" customWidth="true" hidden="false" outlineLevel="0" max="2" min="2" style="1" width="20.85"/>
    <col collapsed="false" customWidth="true" hidden="false" outlineLevel="0" max="3" min="3" style="1" width="20.29"/>
    <col collapsed="false" customWidth="true" hidden="false" outlineLevel="0" max="4" min="4" style="1" width="9.29"/>
    <col collapsed="false" customWidth="true" hidden="false" outlineLevel="0" max="5" min="5" style="1" width="6"/>
    <col collapsed="false" customWidth="true" hidden="false" outlineLevel="0" max="6" min="6" style="1" width="8.86"/>
    <col collapsed="false" customWidth="true" hidden="false" outlineLevel="0" max="7" min="7" style="1" width="2.71"/>
    <col collapsed="false" customWidth="true" hidden="false" outlineLevel="0" max="8" min="8" style="1" width="16.43"/>
    <col collapsed="false" customWidth="true" hidden="false" outlineLevel="0" max="10" min="10" style="1" width="8.86"/>
    <col collapsed="false" customWidth="true" hidden="false" outlineLevel="0" max="11" min="11" style="1" width="2.71"/>
    <col collapsed="false" customWidth="true" hidden="false" outlineLevel="0" max="12" min="12" style="1" width="19.71"/>
    <col collapsed="false" customWidth="true" hidden="false" outlineLevel="0" max="14" min="14" style="1" width="12.71"/>
    <col collapsed="false" customWidth="true" hidden="false" outlineLevel="0" max="15" min="15" style="1" width="2.71"/>
    <col collapsed="false" customWidth="true" hidden="false" outlineLevel="0" max="16" min="16" style="1" width="17"/>
    <col collapsed="false" customWidth="true" hidden="false" outlineLevel="0" max="17" min="17" style="1" width="5.57"/>
    <col collapsed="false" customWidth="true" hidden="false" outlineLevel="0" max="18" min="18" style="1" width="11.85"/>
    <col collapsed="false" customWidth="true" hidden="false" outlineLevel="0" max="19" min="19" style="1" width="5.14"/>
    <col collapsed="false" customWidth="true" hidden="false" outlineLevel="0" max="20" min="20" style="1" width="18.14"/>
    <col collapsed="false" customWidth="true" hidden="false" outlineLevel="0" max="22" min="22" style="1" width="11.85"/>
  </cols>
  <sheetData>
    <row r="1" s="42" customFormat="true" ht="15" hidden="false" customHeight="true" outlineLevel="0" collapsed="false">
      <c r="C1" s="106"/>
      <c r="E1" s="106"/>
      <c r="F1" s="106"/>
      <c r="M1" s="107"/>
    </row>
    <row r="2" s="44" customFormat="true" ht="15" hidden="false" customHeight="true" outlineLevel="0" collapsed="false">
      <c r="A2" s="43"/>
      <c r="B2" s="108" t="s">
        <v>46</v>
      </c>
      <c r="C2" s="108"/>
      <c r="D2" s="108"/>
      <c r="E2" s="108"/>
      <c r="F2" s="108"/>
      <c r="G2" s="109"/>
      <c r="H2" s="110" t="str">
        <f aca="false">"What constitutes a "&amp;C4</f>
        <v>What constitutes a Account</v>
      </c>
      <c r="I2" s="110"/>
      <c r="J2" s="110"/>
      <c r="K2" s="109"/>
      <c r="L2" s="110" t="str">
        <f aca="false">"What constitues a "&amp;C5</f>
        <v>What constitues a Lead</v>
      </c>
      <c r="M2" s="110"/>
      <c r="N2" s="110"/>
      <c r="O2" s="43"/>
      <c r="P2" s="110" t="str">
        <f aca="false">"What constitutes a "&amp;C6</f>
        <v>What constitutes a Service Request (Case)</v>
      </c>
      <c r="Q2" s="110"/>
      <c r="R2" s="110"/>
      <c r="S2" s="43"/>
      <c r="T2" s="110" t="s">
        <v>206</v>
      </c>
      <c r="U2" s="110"/>
      <c r="V2" s="110"/>
      <c r="W2" s="43"/>
      <c r="X2" s="43"/>
    </row>
    <row r="3" s="44" customFormat="true" ht="34.5" hidden="false" customHeight="true" outlineLevel="0" collapsed="false">
      <c r="A3" s="43"/>
      <c r="B3" s="111" t="s">
        <v>207</v>
      </c>
      <c r="C3" s="112" t="s">
        <v>208</v>
      </c>
      <c r="D3" s="112" t="s">
        <v>209</v>
      </c>
      <c r="E3" s="112"/>
      <c r="F3" s="112" t="s">
        <v>210</v>
      </c>
      <c r="G3" s="109"/>
      <c r="H3" s="113"/>
      <c r="I3" s="114" t="s">
        <v>211</v>
      </c>
      <c r="J3" s="115" t="s">
        <v>212</v>
      </c>
      <c r="K3" s="109"/>
      <c r="L3" s="113"/>
      <c r="M3" s="114" t="s">
        <v>211</v>
      </c>
      <c r="N3" s="115" t="s">
        <v>212</v>
      </c>
      <c r="O3" s="43"/>
      <c r="P3" s="113"/>
      <c r="Q3" s="114" t="s">
        <v>211</v>
      </c>
      <c r="R3" s="115" t="s">
        <v>212</v>
      </c>
      <c r="S3" s="43"/>
      <c r="T3" s="116"/>
      <c r="U3" s="117" t="s">
        <v>211</v>
      </c>
      <c r="V3" s="118" t="s">
        <v>213</v>
      </c>
      <c r="W3" s="43"/>
      <c r="X3" s="43"/>
    </row>
    <row r="4" s="44" customFormat="true" ht="15" hidden="false" customHeight="true" outlineLevel="0" collapsed="false">
      <c r="A4" s="43"/>
      <c r="B4" s="119" t="s">
        <v>214</v>
      </c>
      <c r="C4" s="120" t="s">
        <v>214</v>
      </c>
      <c r="D4" s="119" t="n">
        <v>2</v>
      </c>
      <c r="E4" s="121" t="s">
        <v>215</v>
      </c>
      <c r="F4" s="122" t="s">
        <v>152</v>
      </c>
      <c r="G4" s="109"/>
      <c r="H4" s="113" t="s">
        <v>216</v>
      </c>
      <c r="I4" s="123" t="n">
        <v>1</v>
      </c>
      <c r="J4" s="124" t="n">
        <f aca="false">I4*D4</f>
        <v>2</v>
      </c>
      <c r="K4" s="109"/>
      <c r="L4" s="113" t="s">
        <v>216</v>
      </c>
      <c r="M4" s="123" t="n">
        <v>1</v>
      </c>
      <c r="N4" s="124" t="n">
        <f aca="false">D5*M4</f>
        <v>2</v>
      </c>
      <c r="O4" s="43"/>
      <c r="P4" s="113" t="s">
        <v>216</v>
      </c>
      <c r="Q4" s="123" t="n">
        <v>1</v>
      </c>
      <c r="R4" s="124" t="n">
        <f aca="false">Q4*D6</f>
        <v>2</v>
      </c>
      <c r="S4" s="43"/>
      <c r="T4" s="116" t="str">
        <f aca="false">'Datasize-Parameters'!$C$4</f>
        <v>Account</v>
      </c>
      <c r="U4" s="125" t="n">
        <v>2</v>
      </c>
      <c r="V4" s="126" t="n">
        <f aca="false">U4*$D$14</f>
        <v>0.2</v>
      </c>
      <c r="W4" s="43"/>
      <c r="X4" s="43"/>
    </row>
    <row r="5" s="44" customFormat="true" ht="15" hidden="false" customHeight="true" outlineLevel="0" collapsed="false">
      <c r="A5" s="43"/>
      <c r="B5" s="119" t="s">
        <v>217</v>
      </c>
      <c r="C5" s="120" t="s">
        <v>217</v>
      </c>
      <c r="D5" s="119" t="n">
        <v>2</v>
      </c>
      <c r="E5" s="121" t="s">
        <v>215</v>
      </c>
      <c r="F5" s="122" t="s">
        <v>141</v>
      </c>
      <c r="G5" s="109"/>
      <c r="H5" s="113" t="s">
        <v>218</v>
      </c>
      <c r="I5" s="123" t="n">
        <v>3</v>
      </c>
      <c r="J5" s="124" t="n">
        <f aca="false">I5*D4</f>
        <v>6</v>
      </c>
      <c r="K5" s="109"/>
      <c r="L5" s="113" t="s">
        <v>218</v>
      </c>
      <c r="M5" s="123" t="n">
        <v>3</v>
      </c>
      <c r="N5" s="124" t="n">
        <f aca="false">M5*D5</f>
        <v>6</v>
      </c>
      <c r="O5" s="43"/>
      <c r="P5" s="113" t="s">
        <v>218</v>
      </c>
      <c r="Q5" s="123" t="n">
        <v>3</v>
      </c>
      <c r="R5" s="124" t="n">
        <f aca="false">Q5*D6</f>
        <v>6</v>
      </c>
      <c r="S5" s="43"/>
      <c r="T5" s="116" t="str">
        <f aca="false">'Datasize-Parameters'!$C$5</f>
        <v>Lead</v>
      </c>
      <c r="U5" s="125" t="n">
        <v>2</v>
      </c>
      <c r="V5" s="126" t="n">
        <f aca="false">U5*$D$14</f>
        <v>0.2</v>
      </c>
      <c r="W5" s="43"/>
      <c r="X5" s="43"/>
    </row>
    <row r="6" s="44" customFormat="true" ht="15" hidden="false" customHeight="true" outlineLevel="0" collapsed="false">
      <c r="A6" s="43"/>
      <c r="B6" s="119" t="s">
        <v>219</v>
      </c>
      <c r="C6" s="120" t="s">
        <v>220</v>
      </c>
      <c r="D6" s="119" t="n">
        <v>2</v>
      </c>
      <c r="E6" s="121" t="s">
        <v>215</v>
      </c>
      <c r="F6" s="122" t="s">
        <v>141</v>
      </c>
      <c r="G6" s="109"/>
      <c r="H6" s="113" t="str">
        <f aca="false">"Avg "&amp;$C$11</f>
        <v>Avg Activity</v>
      </c>
      <c r="I6" s="123" t="n">
        <v>2</v>
      </c>
      <c r="J6" s="124" t="n">
        <f aca="false">IF($F$11="No",I6*$D$11,I6*$D$11*$D$18)</f>
        <v>4</v>
      </c>
      <c r="K6" s="109"/>
      <c r="L6" s="113" t="str">
        <f aca="false">"Avg "&amp;$C$11</f>
        <v>Avg Activity</v>
      </c>
      <c r="M6" s="123" t="n">
        <v>2</v>
      </c>
      <c r="N6" s="124" t="n">
        <f aca="false">IF($F$11="No",M6*$D$11,M6*$D$11*$D$18)</f>
        <v>4</v>
      </c>
      <c r="O6" s="43"/>
      <c r="P6" s="113" t="str">
        <f aca="false">"Avg "&amp;$C$11</f>
        <v>Avg Activity</v>
      </c>
      <c r="Q6" s="123" t="n">
        <v>2</v>
      </c>
      <c r="R6" s="124" t="n">
        <f aca="false">IF($F$11="No",Q6*$D$11,Q6*$D$11*$D$18)</f>
        <v>4</v>
      </c>
      <c r="S6" s="43"/>
      <c r="T6" s="116" t="str">
        <f aca="false">'Datasize-Parameters'!$C$6</f>
        <v>Service Request (Case)</v>
      </c>
      <c r="U6" s="125" t="n">
        <v>1</v>
      </c>
      <c r="V6" s="126" t="n">
        <f aca="false">U6*$D$14</f>
        <v>0.1</v>
      </c>
      <c r="W6" s="43"/>
      <c r="X6" s="43"/>
    </row>
    <row r="7" s="44" customFormat="true" ht="15" hidden="false" customHeight="true" outlineLevel="0" collapsed="false">
      <c r="A7" s="43"/>
      <c r="B7" s="119" t="s">
        <v>221</v>
      </c>
      <c r="C7" s="120" t="s">
        <v>222</v>
      </c>
      <c r="D7" s="119" t="n">
        <v>2</v>
      </c>
      <c r="E7" s="121" t="s">
        <v>215</v>
      </c>
      <c r="F7" s="122" t="s">
        <v>152</v>
      </c>
      <c r="G7" s="109"/>
      <c r="H7" s="113" t="str">
        <f aca="false">"Avg "&amp;$C$12</f>
        <v>Avg Contact</v>
      </c>
      <c r="I7" s="123" t="n">
        <v>2</v>
      </c>
      <c r="J7" s="124" t="n">
        <f aca="false">IF($F$12="No",I7*D12,I7*D12*$D$18)</f>
        <v>4</v>
      </c>
      <c r="K7" s="109"/>
      <c r="L7" s="113" t="s">
        <v>223</v>
      </c>
      <c r="M7" s="123" t="n">
        <v>15</v>
      </c>
      <c r="N7" s="124" t="n">
        <f aca="false">ROUND(M7*$D$17,0)</f>
        <v>4</v>
      </c>
      <c r="O7" s="43"/>
      <c r="P7" s="113" t="s">
        <v>223</v>
      </c>
      <c r="Q7" s="123" t="n">
        <v>10</v>
      </c>
      <c r="R7" s="124" t="n">
        <f aca="false">ROUND(Q7*$D$17,0)</f>
        <v>3</v>
      </c>
      <c r="S7" s="43"/>
      <c r="T7" s="116" t="str">
        <f aca="false">'Datasize-Parameters'!$C$7</f>
        <v>Campaign</v>
      </c>
      <c r="U7" s="125" t="n">
        <v>0</v>
      </c>
      <c r="V7" s="126" t="n">
        <f aca="false">U7*$D$14</f>
        <v>0</v>
      </c>
      <c r="W7" s="43"/>
      <c r="X7" s="43"/>
    </row>
    <row r="8" s="44" customFormat="true" ht="15" hidden="false" customHeight="true" outlineLevel="0" collapsed="false">
      <c r="A8" s="43"/>
      <c r="B8" s="119" t="s">
        <v>224</v>
      </c>
      <c r="C8" s="120" t="s">
        <v>224</v>
      </c>
      <c r="D8" s="119" t="n">
        <v>2</v>
      </c>
      <c r="E8" s="121" t="s">
        <v>215</v>
      </c>
      <c r="F8" s="122" t="s">
        <v>152</v>
      </c>
      <c r="G8" s="109"/>
      <c r="H8" s="113" t="s">
        <v>223</v>
      </c>
      <c r="I8" s="123" t="n">
        <v>10</v>
      </c>
      <c r="J8" s="124" t="n">
        <f aca="false">ROUND(I8*$D$17,0)</f>
        <v>3</v>
      </c>
      <c r="K8" s="109"/>
      <c r="L8" s="113" t="s">
        <v>225</v>
      </c>
      <c r="M8" s="123" t="n">
        <v>0</v>
      </c>
      <c r="N8" s="127" t="n">
        <f aca="false">ROUND(M8*$D$26,0)</f>
        <v>0</v>
      </c>
      <c r="O8" s="43"/>
      <c r="P8" s="113" t="s">
        <v>225</v>
      </c>
      <c r="Q8" s="123" t="n">
        <v>0</v>
      </c>
      <c r="R8" s="127" t="n">
        <f aca="false">ROUND(Q8*$D$26,0)</f>
        <v>0</v>
      </c>
      <c r="S8" s="43"/>
      <c r="T8" s="116" t="str">
        <f aca="false">'Datasize-Parameters'!$C$8</f>
        <v>Offer</v>
      </c>
      <c r="U8" s="125" t="n">
        <v>0</v>
      </c>
      <c r="V8" s="126" t="n">
        <f aca="false">U8*$D$14</f>
        <v>0</v>
      </c>
      <c r="W8" s="43"/>
      <c r="X8" s="43"/>
    </row>
    <row r="9" s="44" customFormat="true" ht="15" hidden="false" customHeight="true" outlineLevel="0" collapsed="false">
      <c r="A9" s="43"/>
      <c r="B9" s="119" t="s">
        <v>226</v>
      </c>
      <c r="C9" s="120" t="s">
        <v>227</v>
      </c>
      <c r="D9" s="119" t="n">
        <v>2</v>
      </c>
      <c r="E9" s="121" t="s">
        <v>215</v>
      </c>
      <c r="F9" s="122" t="s">
        <v>152</v>
      </c>
      <c r="G9" s="109"/>
      <c r="H9" s="113" t="s">
        <v>225</v>
      </c>
      <c r="I9" s="123" t="n">
        <v>0</v>
      </c>
      <c r="J9" s="127" t="n">
        <f aca="false">ROUND(I9*$D$26,0)</f>
        <v>0</v>
      </c>
      <c r="K9" s="109"/>
      <c r="L9" s="128" t="s">
        <v>228</v>
      </c>
      <c r="M9" s="123" t="n">
        <v>0</v>
      </c>
      <c r="N9" s="127" t="n">
        <f aca="false">ROUND(M9*$D$25,0)</f>
        <v>0</v>
      </c>
      <c r="O9" s="43"/>
      <c r="P9" s="128" t="s">
        <v>228</v>
      </c>
      <c r="Q9" s="123" t="n">
        <v>0</v>
      </c>
      <c r="R9" s="127" t="n">
        <f aca="false">ROUND(Q9*$D$25,0)</f>
        <v>0</v>
      </c>
      <c r="S9" s="43"/>
      <c r="T9" s="116" t="str">
        <f aca="false">'Datasize-Parameters'!$C$9</f>
        <v>Credit</v>
      </c>
      <c r="U9" s="125" t="n">
        <v>0</v>
      </c>
      <c r="V9" s="126" t="n">
        <f aca="false">U9*$D$14</f>
        <v>0</v>
      </c>
      <c r="W9" s="43"/>
      <c r="X9" s="43"/>
    </row>
    <row r="10" s="44" customFormat="true" ht="15" hidden="false" customHeight="true" outlineLevel="0" collapsed="false">
      <c r="A10" s="43"/>
      <c r="B10" s="119" t="s">
        <v>229</v>
      </c>
      <c r="C10" s="120" t="s">
        <v>229</v>
      </c>
      <c r="D10" s="119" t="n">
        <v>2</v>
      </c>
      <c r="E10" s="121" t="s">
        <v>215</v>
      </c>
      <c r="F10" s="122" t="s">
        <v>152</v>
      </c>
      <c r="G10" s="109"/>
      <c r="H10" s="128" t="s">
        <v>228</v>
      </c>
      <c r="I10" s="123" t="n">
        <v>0</v>
      </c>
      <c r="J10" s="127" t="n">
        <f aca="false">ROUND(I10*$D$25,0)</f>
        <v>0</v>
      </c>
      <c r="K10" s="109"/>
      <c r="L10" s="127"/>
      <c r="M10" s="129"/>
      <c r="N10" s="127"/>
      <c r="O10" s="43"/>
      <c r="P10" s="127"/>
      <c r="Q10" s="129"/>
      <c r="R10" s="127"/>
      <c r="S10" s="43"/>
      <c r="T10" s="116" t="str">
        <f aca="false">'Datasize-Parameters'!$C$10</f>
        <v>Holding</v>
      </c>
      <c r="U10" s="125" t="n">
        <v>0</v>
      </c>
      <c r="V10" s="126" t="n">
        <f aca="false">U10*$D$14</f>
        <v>0</v>
      </c>
      <c r="W10" s="43"/>
      <c r="X10" s="43"/>
    </row>
    <row r="11" s="44" customFormat="true" ht="15" hidden="false" customHeight="true" outlineLevel="0" collapsed="false">
      <c r="A11" s="43"/>
      <c r="B11" s="119" t="s">
        <v>230</v>
      </c>
      <c r="C11" s="120" t="s">
        <v>230</v>
      </c>
      <c r="D11" s="119" t="n">
        <v>2</v>
      </c>
      <c r="E11" s="121" t="s">
        <v>215</v>
      </c>
      <c r="F11" s="122" t="s">
        <v>152</v>
      </c>
      <c r="G11" s="109"/>
      <c r="H11" s="127"/>
      <c r="I11" s="129"/>
      <c r="J11" s="127"/>
      <c r="L11" s="127"/>
      <c r="M11" s="129"/>
      <c r="N11" s="127"/>
      <c r="P11" s="127"/>
      <c r="Q11" s="129"/>
      <c r="R11" s="127"/>
      <c r="S11" s="43"/>
      <c r="T11" s="116" t="str">
        <f aca="false">'Datasize-Parameters'!$C$13</f>
        <v>Facility</v>
      </c>
      <c r="U11" s="125" t="n">
        <v>0</v>
      </c>
      <c r="V11" s="126" t="n">
        <f aca="false">U11*$D$14</f>
        <v>0</v>
      </c>
      <c r="W11" s="43"/>
      <c r="X11" s="43"/>
    </row>
    <row r="12" s="44" customFormat="true" ht="15" hidden="false" customHeight="true" outlineLevel="0" collapsed="false">
      <c r="A12" s="43"/>
      <c r="B12" s="119" t="s">
        <v>231</v>
      </c>
      <c r="C12" s="122" t="s">
        <v>231</v>
      </c>
      <c r="D12" s="119" t="n">
        <v>2</v>
      </c>
      <c r="E12" s="121" t="s">
        <v>215</v>
      </c>
      <c r="F12" s="122" t="s">
        <v>152</v>
      </c>
      <c r="G12" s="109"/>
      <c r="H12" s="130" t="str">
        <f aca="false">$C$4 &amp;" Size"</f>
        <v>Account Size</v>
      </c>
      <c r="I12" s="130"/>
      <c r="J12" s="131" t="n">
        <f aca="false">SUM(J4:J10)</f>
        <v>19</v>
      </c>
      <c r="L12" s="130" t="str">
        <f aca="false">$C$5 &amp;" Size"</f>
        <v>Lead Size</v>
      </c>
      <c r="M12" s="130"/>
      <c r="N12" s="131" t="n">
        <f aca="false">SUM(N4:N11)</f>
        <v>16</v>
      </c>
      <c r="P12" s="130" t="str">
        <f aca="false">C6&amp;" Size"</f>
        <v>Service Request (Case) Size</v>
      </c>
      <c r="Q12" s="130"/>
      <c r="R12" s="131" t="n">
        <f aca="false">SUM(R4:R11)</f>
        <v>15</v>
      </c>
      <c r="S12" s="43"/>
      <c r="T12" s="116"/>
      <c r="U12" s="132"/>
      <c r="V12" s="133"/>
      <c r="W12" s="43"/>
      <c r="X12" s="43"/>
    </row>
    <row r="13" s="44" customFormat="true" ht="19.5" hidden="false" customHeight="true" outlineLevel="0" collapsed="false">
      <c r="A13" s="43"/>
      <c r="B13" s="119" t="s">
        <v>232</v>
      </c>
      <c r="C13" s="122" t="s">
        <v>233</v>
      </c>
      <c r="D13" s="119" t="n">
        <v>2</v>
      </c>
      <c r="E13" s="121" t="s">
        <v>215</v>
      </c>
      <c r="F13" s="122" t="s">
        <v>152</v>
      </c>
      <c r="G13" s="109"/>
      <c r="H13" s="134" t="s">
        <v>234</v>
      </c>
      <c r="I13" s="124"/>
      <c r="J13" s="135" t="n">
        <f aca="false">IF($F$4="No", J12, J12*$D$18)</f>
        <v>19</v>
      </c>
      <c r="L13" s="134" t="s">
        <v>234</v>
      </c>
      <c r="M13" s="124"/>
      <c r="N13" s="135" t="n">
        <f aca="false">IF($F$5="No", N12, N12*$D$18)</f>
        <v>40</v>
      </c>
      <c r="P13" s="134" t="s">
        <v>234</v>
      </c>
      <c r="Q13" s="124"/>
      <c r="R13" s="135" t="n">
        <f aca="false">IF($F$6="No", R12, R12*$D$18)</f>
        <v>37.5</v>
      </c>
      <c r="S13" s="43"/>
      <c r="T13" s="133" t="str">
        <f aca="false">G7&amp;" Size"</f>
        <v> Size</v>
      </c>
      <c r="U13" s="133"/>
      <c r="V13" s="136" t="n">
        <f aca="false">SUM(V4:V12)</f>
        <v>0.5</v>
      </c>
      <c r="W13" s="43"/>
      <c r="X13" s="43"/>
    </row>
    <row r="14" s="44" customFormat="true" ht="15" hidden="false" customHeight="true" outlineLevel="0" collapsed="false">
      <c r="A14" s="43"/>
      <c r="B14" s="119" t="s">
        <v>235</v>
      </c>
      <c r="C14" s="119" t="s">
        <v>235</v>
      </c>
      <c r="D14" s="121" t="n">
        <v>0.1</v>
      </c>
      <c r="E14" s="121" t="s">
        <v>215</v>
      </c>
      <c r="F14" s="121" t="s">
        <v>236</v>
      </c>
      <c r="G14" s="109"/>
      <c r="H14" s="113"/>
      <c r="I14" s="113"/>
      <c r="J14" s="130" t="s">
        <v>237</v>
      </c>
      <c r="L14" s="113"/>
      <c r="M14" s="113"/>
      <c r="N14" s="130" t="s">
        <v>237</v>
      </c>
      <c r="P14" s="113"/>
      <c r="Q14" s="113"/>
      <c r="R14" s="130" t="s">
        <v>237</v>
      </c>
      <c r="S14" s="43"/>
      <c r="T14" s="137"/>
      <c r="U14" s="126"/>
      <c r="V14" s="133" t="s">
        <v>237</v>
      </c>
      <c r="W14" s="43"/>
      <c r="X14" s="43"/>
    </row>
    <row r="15" s="44" customFormat="true" ht="15" hidden="false" customHeight="true" outlineLevel="0" collapsed="false">
      <c r="A15" s="43"/>
      <c r="B15" s="119" t="s">
        <v>238</v>
      </c>
      <c r="C15" s="121" t="s">
        <v>238</v>
      </c>
      <c r="D15" s="121" t="s">
        <v>239</v>
      </c>
      <c r="E15" s="121" t="s">
        <v>215</v>
      </c>
      <c r="F15" s="121" t="s">
        <v>236</v>
      </c>
      <c r="G15" s="109"/>
      <c r="S15" s="43"/>
      <c r="T15" s="109"/>
      <c r="U15" s="43"/>
      <c r="V15" s="43"/>
      <c r="W15" s="43"/>
      <c r="X15" s="43"/>
    </row>
    <row r="16" s="44" customFormat="true" ht="15" hidden="false" customHeight="true" outlineLevel="0" collapsed="false">
      <c r="A16" s="43"/>
      <c r="B16" s="119" t="s">
        <v>240</v>
      </c>
      <c r="C16" s="119" t="s">
        <v>240</v>
      </c>
      <c r="D16" s="119" t="n">
        <v>2</v>
      </c>
      <c r="E16" s="121" t="s">
        <v>215</v>
      </c>
      <c r="F16" s="121" t="s">
        <v>236</v>
      </c>
      <c r="G16" s="109"/>
      <c r="H16" s="110" t="str">
        <f aca="false">"What constitutes a "&amp;C7</f>
        <v>What constitutes a Campaign</v>
      </c>
      <c r="I16" s="110"/>
      <c r="J16" s="110"/>
      <c r="K16" s="109"/>
      <c r="L16" s="110" t="str">
        <f aca="false">"What constitutes a "&amp;C8</f>
        <v>What constitutes a Offer</v>
      </c>
      <c r="M16" s="110"/>
      <c r="N16" s="110"/>
      <c r="O16" s="43"/>
      <c r="P16" s="110" t="str">
        <f aca="false">"What constitutes a "&amp;C9</f>
        <v>What constitutes a Credit</v>
      </c>
      <c r="Q16" s="110"/>
      <c r="R16" s="110"/>
      <c r="S16" s="43"/>
      <c r="T16" s="109"/>
      <c r="U16" s="43"/>
      <c r="V16" s="43"/>
      <c r="W16" s="43"/>
      <c r="X16" s="43"/>
    </row>
    <row r="17" s="44" customFormat="true" ht="23.25" hidden="false" customHeight="true" outlineLevel="0" collapsed="false">
      <c r="A17" s="43"/>
      <c r="B17" s="138" t="s">
        <v>241</v>
      </c>
      <c r="C17" s="138" t="s">
        <v>242</v>
      </c>
      <c r="D17" s="139" t="n">
        <v>0.25</v>
      </c>
      <c r="E17" s="121" t="s">
        <v>215</v>
      </c>
      <c r="F17" s="121" t="s">
        <v>236</v>
      </c>
      <c r="G17" s="109"/>
      <c r="H17" s="113"/>
      <c r="I17" s="114" t="s">
        <v>211</v>
      </c>
      <c r="J17" s="115" t="s">
        <v>212</v>
      </c>
      <c r="K17" s="109"/>
      <c r="L17" s="113"/>
      <c r="M17" s="114" t="s">
        <v>211</v>
      </c>
      <c r="N17" s="115" t="s">
        <v>212</v>
      </c>
      <c r="O17" s="43"/>
      <c r="P17" s="113"/>
      <c r="Q17" s="114" t="s">
        <v>211</v>
      </c>
      <c r="R17" s="115" t="s">
        <v>212</v>
      </c>
      <c r="S17" s="43"/>
      <c r="T17" s="43"/>
      <c r="U17" s="43"/>
      <c r="V17" s="43"/>
      <c r="W17" s="43"/>
      <c r="X17" s="43"/>
    </row>
    <row r="18" s="44" customFormat="true" ht="23.25" hidden="false" customHeight="true" outlineLevel="0" collapsed="false">
      <c r="A18" s="43"/>
      <c r="B18" s="138" t="s">
        <v>243</v>
      </c>
      <c r="C18" s="138" t="s">
        <v>244</v>
      </c>
      <c r="D18" s="139" t="n">
        <v>2.5</v>
      </c>
      <c r="E18" s="121" t="s">
        <v>245</v>
      </c>
      <c r="F18" s="121" t="s">
        <v>236</v>
      </c>
      <c r="G18" s="109"/>
      <c r="H18" s="113" t="s">
        <v>216</v>
      </c>
      <c r="I18" s="123" t="n">
        <v>1</v>
      </c>
      <c r="J18" s="124" t="n">
        <f aca="false">I18*D7</f>
        <v>2</v>
      </c>
      <c r="K18" s="109"/>
      <c r="L18" s="113" t="s">
        <v>216</v>
      </c>
      <c r="M18" s="123" t="n">
        <v>0</v>
      </c>
      <c r="N18" s="124" t="n">
        <f aca="false">M18*D8</f>
        <v>0</v>
      </c>
      <c r="O18" s="43"/>
      <c r="P18" s="113" t="s">
        <v>216</v>
      </c>
      <c r="Q18" s="123" t="n">
        <v>0</v>
      </c>
      <c r="R18" s="124" t="n">
        <f aca="false">Q18*D9</f>
        <v>0</v>
      </c>
      <c r="S18" s="43"/>
      <c r="T18" s="43"/>
      <c r="U18" s="43"/>
      <c r="V18" s="43"/>
      <c r="W18" s="43"/>
      <c r="X18" s="43"/>
    </row>
    <row r="19" s="44" customFormat="true" ht="15" hidden="false" customHeight="true" outlineLevel="0" collapsed="false">
      <c r="A19" s="43"/>
      <c r="G19" s="109"/>
      <c r="H19" s="113" t="s">
        <v>218</v>
      </c>
      <c r="I19" s="123" t="n">
        <v>3</v>
      </c>
      <c r="J19" s="124" t="n">
        <f aca="false">I19*D7</f>
        <v>6</v>
      </c>
      <c r="K19" s="109"/>
      <c r="L19" s="113" t="s">
        <v>218</v>
      </c>
      <c r="M19" s="123" t="n">
        <v>0</v>
      </c>
      <c r="N19" s="124" t="n">
        <f aca="false">M19*D8</f>
        <v>0</v>
      </c>
      <c r="O19" s="43"/>
      <c r="P19" s="113" t="s">
        <v>218</v>
      </c>
      <c r="Q19" s="123" t="n">
        <v>0</v>
      </c>
      <c r="R19" s="124" t="n">
        <f aca="false">Q19*D9</f>
        <v>0</v>
      </c>
      <c r="S19" s="43"/>
      <c r="T19" s="43"/>
      <c r="U19" s="43"/>
      <c r="V19" s="43"/>
      <c r="W19" s="43"/>
      <c r="X19" s="43"/>
    </row>
    <row r="20" s="44" customFormat="true" ht="15" hidden="false" customHeight="true" outlineLevel="0" collapsed="false">
      <c r="A20" s="43"/>
      <c r="B20" s="140" t="s">
        <v>246</v>
      </c>
      <c r="C20" s="141"/>
      <c r="D20" s="141"/>
      <c r="E20" s="141"/>
      <c r="F20" s="142"/>
      <c r="G20" s="109"/>
      <c r="H20" s="113" t="str">
        <f aca="false">"Avg "&amp;$C$11</f>
        <v>Avg Activity</v>
      </c>
      <c r="I20" s="123" t="n">
        <v>2</v>
      </c>
      <c r="J20" s="124" t="n">
        <f aca="false">IF($F$11="No",I20*$D$11,I20*$D$11*$D$18)</f>
        <v>4</v>
      </c>
      <c r="K20" s="109"/>
      <c r="L20" s="113" t="str">
        <f aca="false">"Avg "&amp;$C$11</f>
        <v>Avg Activity</v>
      </c>
      <c r="M20" s="123" t="n">
        <v>0</v>
      </c>
      <c r="N20" s="124" t="n">
        <f aca="false">IF($F$11="No",M20*$D$11,M20*$D$11*$D$18)</f>
        <v>0</v>
      </c>
      <c r="O20" s="43"/>
      <c r="P20" s="113" t="str">
        <f aca="false">"Avg "&amp;$C$11</f>
        <v>Avg Activity</v>
      </c>
      <c r="Q20" s="123" t="n">
        <v>0</v>
      </c>
      <c r="R20" s="124" t="n">
        <f aca="false">IF($F$11="No",Q20*$D$11,Q20*$D$11*$D$18)</f>
        <v>0</v>
      </c>
      <c r="S20" s="43"/>
      <c r="T20" s="43"/>
      <c r="U20" s="43"/>
      <c r="V20" s="43"/>
      <c r="W20" s="43"/>
      <c r="X20" s="43"/>
    </row>
    <row r="21" s="44" customFormat="true" ht="25.5" hidden="false" customHeight="true" outlineLevel="0" collapsed="false">
      <c r="A21" s="43"/>
      <c r="B21" s="143" t="s">
        <v>207</v>
      </c>
      <c r="C21" s="144"/>
      <c r="D21" s="145" t="s">
        <v>209</v>
      </c>
      <c r="E21" s="145"/>
      <c r="F21" s="144"/>
      <c r="G21" s="109"/>
      <c r="H21" s="113" t="s">
        <v>223</v>
      </c>
      <c r="I21" s="123" t="n">
        <v>0</v>
      </c>
      <c r="J21" s="124" t="n">
        <f aca="false">ROUND(I21*$D$17,0)</f>
        <v>0</v>
      </c>
      <c r="K21" s="109"/>
      <c r="L21" s="113" t="s">
        <v>223</v>
      </c>
      <c r="M21" s="123" t="n">
        <v>0</v>
      </c>
      <c r="N21" s="124" t="n">
        <f aca="false">ROUND(M21*$D$17,0)</f>
        <v>0</v>
      </c>
      <c r="O21" s="43"/>
      <c r="P21" s="113" t="s">
        <v>223</v>
      </c>
      <c r="Q21" s="123" t="n">
        <v>0</v>
      </c>
      <c r="R21" s="124" t="n">
        <f aca="false">ROUND(Q21*$D$17,0)</f>
        <v>0</v>
      </c>
      <c r="S21" s="43"/>
      <c r="T21" s="43"/>
      <c r="U21" s="43"/>
      <c r="V21" s="43"/>
      <c r="W21" s="43"/>
      <c r="X21" s="43"/>
    </row>
    <row r="22" s="44" customFormat="true" ht="15" hidden="false" customHeight="true" outlineLevel="0" collapsed="false">
      <c r="A22" s="43"/>
      <c r="B22" s="146" t="s">
        <v>247</v>
      </c>
      <c r="C22" s="147"/>
      <c r="D22" s="122" t="n">
        <v>0.1</v>
      </c>
      <c r="E22" s="148" t="s">
        <v>215</v>
      </c>
      <c r="F22" s="149"/>
      <c r="G22" s="109"/>
      <c r="H22" s="113" t="s">
        <v>225</v>
      </c>
      <c r="I22" s="123" t="n">
        <v>0</v>
      </c>
      <c r="J22" s="127" t="n">
        <f aca="false">ROUND(I22*$D$26,0)</f>
        <v>0</v>
      </c>
      <c r="L22" s="113" t="s">
        <v>225</v>
      </c>
      <c r="M22" s="123" t="n">
        <v>0</v>
      </c>
      <c r="N22" s="127" t="n">
        <f aca="false">ROUND(M22*$D$26,0)</f>
        <v>0</v>
      </c>
      <c r="O22" s="43"/>
      <c r="P22" s="113" t="s">
        <v>225</v>
      </c>
      <c r="Q22" s="123" t="n">
        <v>0</v>
      </c>
      <c r="R22" s="127" t="n">
        <f aca="false">ROUND(Q22*$D$26,0)</f>
        <v>0</v>
      </c>
      <c r="S22" s="43"/>
      <c r="T22" s="43"/>
      <c r="U22" s="43"/>
      <c r="V22" s="43"/>
      <c r="W22" s="43"/>
      <c r="X22" s="43"/>
    </row>
    <row r="23" s="44" customFormat="true" ht="15" hidden="false" customHeight="true" outlineLevel="0" collapsed="false">
      <c r="A23" s="43"/>
      <c r="B23" s="146" t="s">
        <v>248</v>
      </c>
      <c r="C23" s="147"/>
      <c r="D23" s="122" t="n">
        <v>40</v>
      </c>
      <c r="E23" s="148" t="s">
        <v>215</v>
      </c>
      <c r="F23" s="149"/>
      <c r="G23" s="109"/>
      <c r="H23" s="128" t="s">
        <v>228</v>
      </c>
      <c r="I23" s="123" t="n">
        <v>0</v>
      </c>
      <c r="J23" s="127" t="n">
        <f aca="false">ROUND(I23*$D$25,0)</f>
        <v>0</v>
      </c>
      <c r="L23" s="128" t="s">
        <v>228</v>
      </c>
      <c r="M23" s="123" t="n">
        <v>0</v>
      </c>
      <c r="N23" s="127" t="n">
        <f aca="false">ROUND(M23*$D$25,0)</f>
        <v>0</v>
      </c>
      <c r="P23" s="128" t="s">
        <v>228</v>
      </c>
      <c r="Q23" s="123" t="n">
        <v>0</v>
      </c>
      <c r="R23" s="127" t="n">
        <f aca="false">ROUND(Q23*$D$25,0)</f>
        <v>0</v>
      </c>
      <c r="S23" s="43"/>
      <c r="T23" s="43"/>
      <c r="U23" s="43"/>
      <c r="V23" s="43"/>
      <c r="W23" s="43"/>
      <c r="X23" s="43"/>
    </row>
    <row r="24" s="44" customFormat="true" ht="15" hidden="false" customHeight="true" outlineLevel="0" collapsed="false">
      <c r="A24" s="43"/>
      <c r="B24" s="146" t="s">
        <v>249</v>
      </c>
      <c r="C24" s="147"/>
      <c r="D24" s="122" t="n">
        <v>256</v>
      </c>
      <c r="E24" s="148" t="s">
        <v>215</v>
      </c>
      <c r="F24" s="149"/>
      <c r="G24" s="109"/>
      <c r="H24" s="113"/>
      <c r="I24" s="114"/>
      <c r="J24" s="115"/>
      <c r="L24" s="113"/>
      <c r="M24" s="114"/>
      <c r="N24" s="115"/>
      <c r="P24" s="113"/>
      <c r="Q24" s="114"/>
      <c r="R24" s="115"/>
      <c r="S24" s="43"/>
      <c r="T24" s="43"/>
      <c r="U24" s="43"/>
      <c r="V24" s="43"/>
      <c r="W24" s="43"/>
      <c r="X24" s="43"/>
    </row>
    <row r="25" s="44" customFormat="true" ht="15" hidden="false" customHeight="true" outlineLevel="0" collapsed="false">
      <c r="A25" s="43"/>
      <c r="B25" s="146" t="s">
        <v>250</v>
      </c>
      <c r="C25" s="147"/>
      <c r="D25" s="122" t="n">
        <v>5</v>
      </c>
      <c r="E25" s="148" t="s">
        <v>215</v>
      </c>
      <c r="F25" s="149"/>
      <c r="G25" s="109"/>
      <c r="H25" s="130" t="str">
        <f aca="false">$C$7&amp;" Size"</f>
        <v>Campaign Size</v>
      </c>
      <c r="I25" s="130"/>
      <c r="J25" s="131" t="n">
        <f aca="false">SUM(J18:J23)</f>
        <v>12</v>
      </c>
      <c r="L25" s="130" t="str">
        <f aca="false">$C$8&amp;" Size"</f>
        <v>Offer Size</v>
      </c>
      <c r="M25" s="130"/>
      <c r="N25" s="131" t="n">
        <f aca="false">SUM(N18:N23)</f>
        <v>0</v>
      </c>
      <c r="P25" s="130" t="str">
        <f aca="false">$C$9&amp;" Size"</f>
        <v>Credit Size</v>
      </c>
      <c r="Q25" s="130"/>
      <c r="R25" s="131" t="n">
        <f aca="false">SUM(R18:R23)</f>
        <v>0</v>
      </c>
      <c r="S25" s="43"/>
      <c r="T25" s="43"/>
      <c r="U25" s="43"/>
      <c r="V25" s="43"/>
      <c r="W25" s="43"/>
      <c r="X25" s="43"/>
    </row>
    <row r="26" s="44" customFormat="true" ht="15" hidden="false" customHeight="true" outlineLevel="0" collapsed="false">
      <c r="A26" s="43"/>
      <c r="B26" s="146" t="s">
        <v>251</v>
      </c>
      <c r="C26" s="147"/>
      <c r="D26" s="122" t="n">
        <v>5</v>
      </c>
      <c r="E26" s="148" t="s">
        <v>215</v>
      </c>
      <c r="F26" s="149"/>
      <c r="G26" s="109"/>
      <c r="H26" s="134" t="s">
        <v>234</v>
      </c>
      <c r="I26" s="124"/>
      <c r="J26" s="135" t="n">
        <f aca="false">IF($F$7="No", J25, J25*$D$18)</f>
        <v>12</v>
      </c>
      <c r="K26" s="109"/>
      <c r="L26" s="134" t="s">
        <v>234</v>
      </c>
      <c r="M26" s="124"/>
      <c r="N26" s="135" t="n">
        <f aca="false">IF($F$8="No", N25, N25*$D$18)</f>
        <v>0</v>
      </c>
      <c r="O26" s="43"/>
      <c r="P26" s="134" t="s">
        <v>234</v>
      </c>
      <c r="Q26" s="124"/>
      <c r="R26" s="135" t="n">
        <f aca="false">IF($F$9="No", R25, R25*$D$18)</f>
        <v>0</v>
      </c>
      <c r="S26" s="43"/>
      <c r="T26" s="43"/>
      <c r="U26" s="43"/>
      <c r="V26" s="43"/>
      <c r="W26" s="43"/>
      <c r="X26" s="43"/>
    </row>
    <row r="27" s="44" customFormat="true" ht="15" hidden="false" customHeight="true" outlineLevel="0" collapsed="false">
      <c r="A27" s="43"/>
      <c r="G27" s="109"/>
      <c r="H27" s="150"/>
      <c r="I27" s="150"/>
      <c r="J27" s="130" t="s">
        <v>252</v>
      </c>
      <c r="K27" s="109"/>
      <c r="L27" s="150"/>
      <c r="M27" s="150"/>
      <c r="N27" s="130" t="s">
        <v>252</v>
      </c>
      <c r="O27" s="43"/>
      <c r="P27" s="150"/>
      <c r="Q27" s="150"/>
      <c r="R27" s="130" t="s">
        <v>252</v>
      </c>
      <c r="S27" s="43"/>
      <c r="T27" s="43"/>
      <c r="U27" s="43"/>
      <c r="V27" s="43"/>
      <c r="W27" s="43"/>
      <c r="X27" s="43"/>
    </row>
    <row r="28" s="44" customFormat="true" ht="15" hidden="false" customHeight="true" outlineLevel="0" collapsed="false">
      <c r="A28" s="43"/>
      <c r="B28" s="151" t="s">
        <v>51</v>
      </c>
      <c r="C28" s="152"/>
      <c r="D28" s="152"/>
      <c r="E28" s="152"/>
      <c r="F28" s="153"/>
      <c r="G28" s="109"/>
      <c r="S28" s="43"/>
      <c r="T28" s="43"/>
      <c r="U28" s="43"/>
      <c r="V28" s="43"/>
      <c r="W28" s="43"/>
      <c r="X28" s="43"/>
    </row>
    <row r="29" s="44" customFormat="true" ht="15" hidden="false" customHeight="true" outlineLevel="0" collapsed="false">
      <c r="A29" s="43"/>
      <c r="B29" s="154" t="s">
        <v>253</v>
      </c>
      <c r="C29" s="155" t="n">
        <v>0.15</v>
      </c>
      <c r="D29" s="146" t="s">
        <v>254</v>
      </c>
      <c r="E29" s="156"/>
      <c r="F29" s="147"/>
      <c r="G29" s="109"/>
      <c r="H29" s="110" t="str">
        <f aca="false">"What constitutes of "&amp;$C$10</f>
        <v>What constitutes of Holding</v>
      </c>
      <c r="I29" s="110"/>
      <c r="J29" s="110"/>
      <c r="K29" s="109"/>
      <c r="L29" s="110" t="str">
        <f aca="false">"What constitutes of "&amp;$C$13</f>
        <v>What constitutes of Facility</v>
      </c>
      <c r="M29" s="110"/>
      <c r="N29" s="110"/>
      <c r="S29" s="43"/>
      <c r="T29" s="43"/>
      <c r="U29" s="43"/>
      <c r="V29" s="43"/>
      <c r="W29" s="43"/>
      <c r="X29" s="43"/>
    </row>
    <row r="30" s="44" customFormat="true" ht="15" hidden="false" customHeight="true" outlineLevel="0" collapsed="false">
      <c r="A30" s="43"/>
      <c r="B30" s="121" t="s">
        <v>255</v>
      </c>
      <c r="C30" s="157" t="n">
        <v>0.2</v>
      </c>
      <c r="D30" s="146" t="s">
        <v>254</v>
      </c>
      <c r="E30" s="156"/>
      <c r="F30" s="147"/>
      <c r="G30" s="109"/>
      <c r="H30" s="113"/>
      <c r="I30" s="114" t="s">
        <v>211</v>
      </c>
      <c r="J30" s="115" t="s">
        <v>212</v>
      </c>
      <c r="K30" s="109"/>
      <c r="L30" s="113"/>
      <c r="M30" s="114" t="s">
        <v>211</v>
      </c>
      <c r="N30" s="115" t="s">
        <v>212</v>
      </c>
      <c r="S30" s="43"/>
      <c r="T30" s="43"/>
      <c r="U30" s="43"/>
      <c r="V30" s="43"/>
      <c r="W30" s="43"/>
      <c r="X30" s="43"/>
    </row>
    <row r="31" s="44" customFormat="true" ht="15" hidden="false" customHeight="true" outlineLevel="0" collapsed="false">
      <c r="A31" s="43"/>
      <c r="B31" s="121" t="s">
        <v>256</v>
      </c>
      <c r="C31" s="157" t="n">
        <v>0.2</v>
      </c>
      <c r="D31" s="146" t="s">
        <v>254</v>
      </c>
      <c r="E31" s="156"/>
      <c r="F31" s="147"/>
      <c r="G31" s="109"/>
      <c r="H31" s="113" t="s">
        <v>216</v>
      </c>
      <c r="I31" s="123" t="n">
        <v>1</v>
      </c>
      <c r="J31" s="124" t="n">
        <f aca="false">I31*D10</f>
        <v>2</v>
      </c>
      <c r="K31" s="109"/>
      <c r="L31" s="113" t="s">
        <v>216</v>
      </c>
      <c r="M31" s="123" t="n">
        <v>0</v>
      </c>
      <c r="N31" s="124" t="n">
        <f aca="false">M31*D13</f>
        <v>0</v>
      </c>
      <c r="S31" s="43"/>
      <c r="T31" s="43"/>
      <c r="U31" s="43"/>
      <c r="V31" s="43"/>
      <c r="W31" s="43"/>
      <c r="X31" s="43"/>
    </row>
    <row r="32" s="44" customFormat="true" ht="15" hidden="false" customHeight="true" outlineLevel="0" collapsed="false">
      <c r="A32" s="43"/>
      <c r="B32" s="121" t="s">
        <v>257</v>
      </c>
      <c r="C32" s="157" t="n">
        <v>0.2</v>
      </c>
      <c r="D32" s="146" t="s">
        <v>254</v>
      </c>
      <c r="E32" s="156"/>
      <c r="F32" s="147"/>
      <c r="G32" s="109"/>
      <c r="H32" s="113" t="s">
        <v>258</v>
      </c>
      <c r="I32" s="123" t="n">
        <v>3</v>
      </c>
      <c r="J32" s="124" t="n">
        <f aca="false">I32*D10</f>
        <v>6</v>
      </c>
      <c r="K32" s="109"/>
      <c r="L32" s="113" t="s">
        <v>258</v>
      </c>
      <c r="M32" s="123" t="n">
        <v>0</v>
      </c>
      <c r="N32" s="124" t="n">
        <f aca="false">M32*D13</f>
        <v>0</v>
      </c>
      <c r="O32" s="43"/>
      <c r="S32" s="43"/>
      <c r="T32" s="43"/>
      <c r="U32" s="43"/>
      <c r="V32" s="43"/>
      <c r="W32" s="43"/>
      <c r="X32" s="43"/>
    </row>
    <row r="33" s="44" customFormat="true" ht="15" hidden="false" customHeight="true" outlineLevel="0" collapsed="false">
      <c r="A33" s="43"/>
      <c r="B33" s="121" t="s">
        <v>259</v>
      </c>
      <c r="C33" s="157" t="n">
        <v>0.25</v>
      </c>
      <c r="D33" s="146" t="s">
        <v>260</v>
      </c>
      <c r="E33" s="156"/>
      <c r="F33" s="147"/>
      <c r="G33" s="109"/>
      <c r="H33" s="113" t="str">
        <f aca="false">"Avg "&amp;$C$11</f>
        <v>Avg Activity</v>
      </c>
      <c r="I33" s="123" t="n">
        <v>0</v>
      </c>
      <c r="J33" s="124" t="n">
        <f aca="false">IF($F$11="No",I33*$D$11,I33*$D$11*$D$18)</f>
        <v>0</v>
      </c>
      <c r="K33" s="109"/>
      <c r="L33" s="113" t="str">
        <f aca="false">"Avg "&amp;$C$11</f>
        <v>Avg Activity</v>
      </c>
      <c r="M33" s="123" t="n">
        <v>0</v>
      </c>
      <c r="N33" s="124" t="n">
        <f aca="false">IF($F$11="No",M33*$D$11,M33*$D$11*$D$18)</f>
        <v>0</v>
      </c>
      <c r="O33" s="43"/>
      <c r="P33" s="158"/>
      <c r="Q33" s="43"/>
      <c r="R33" s="43"/>
      <c r="S33" s="43"/>
      <c r="T33" s="43"/>
      <c r="U33" s="43"/>
      <c r="V33" s="43"/>
      <c r="W33" s="43"/>
      <c r="X33" s="43"/>
    </row>
    <row r="34" s="44" customFormat="true" ht="15" hidden="false" customHeight="true" outlineLevel="0" collapsed="false">
      <c r="A34" s="43"/>
      <c r="B34" s="121" t="s">
        <v>261</v>
      </c>
      <c r="C34" s="157" t="n">
        <v>0.1</v>
      </c>
      <c r="D34" s="146" t="s">
        <v>254</v>
      </c>
      <c r="E34" s="159"/>
      <c r="F34" s="160"/>
      <c r="G34" s="109"/>
      <c r="H34" s="113" t="s">
        <v>223</v>
      </c>
      <c r="I34" s="123" t="n">
        <v>0</v>
      </c>
      <c r="J34" s="124" t="n">
        <f aca="false">ROUND(I34*$D$17,0)</f>
        <v>0</v>
      </c>
      <c r="K34" s="109"/>
      <c r="L34" s="113" t="s">
        <v>223</v>
      </c>
      <c r="M34" s="123" t="n">
        <v>0</v>
      </c>
      <c r="N34" s="124" t="n">
        <f aca="false">ROUND(M34*$D$17,0)</f>
        <v>0</v>
      </c>
      <c r="O34" s="43"/>
      <c r="S34" s="43"/>
      <c r="T34" s="43"/>
      <c r="U34" s="43"/>
      <c r="V34" s="43"/>
      <c r="W34" s="43"/>
      <c r="X34" s="43"/>
    </row>
    <row r="35" s="44" customFormat="true" ht="15" hidden="false" customHeight="true" outlineLevel="0" collapsed="false">
      <c r="A35" s="43"/>
      <c r="G35" s="109"/>
      <c r="H35" s="113" t="s">
        <v>225</v>
      </c>
      <c r="I35" s="123" t="n">
        <v>0</v>
      </c>
      <c r="J35" s="127" t="n">
        <f aca="false">ROUND(I35*$D$26,0)</f>
        <v>0</v>
      </c>
      <c r="K35" s="109"/>
      <c r="L35" s="113" t="s">
        <v>225</v>
      </c>
      <c r="M35" s="123" t="n">
        <v>0</v>
      </c>
      <c r="N35" s="127" t="n">
        <f aca="false">ROUND(M35*$D$26,0)</f>
        <v>0</v>
      </c>
      <c r="O35" s="43"/>
      <c r="S35" s="43"/>
      <c r="T35" s="43"/>
      <c r="U35" s="43"/>
      <c r="V35" s="43"/>
      <c r="W35" s="43"/>
      <c r="X35" s="43"/>
    </row>
    <row r="36" s="44" customFormat="true" ht="15" hidden="false" customHeight="true" outlineLevel="0" collapsed="false">
      <c r="A36" s="43"/>
      <c r="B36" s="161" t="s">
        <v>262</v>
      </c>
      <c r="C36" s="161"/>
      <c r="D36" s="161"/>
      <c r="E36" s="161"/>
      <c r="F36" s="161"/>
      <c r="G36" s="109"/>
      <c r="H36" s="128" t="s">
        <v>228</v>
      </c>
      <c r="I36" s="123" t="n">
        <v>0</v>
      </c>
      <c r="J36" s="127" t="n">
        <f aca="false">ROUND(I36*$D$25,0)</f>
        <v>0</v>
      </c>
      <c r="L36" s="128" t="s">
        <v>228</v>
      </c>
      <c r="M36" s="123" t="n">
        <v>0</v>
      </c>
      <c r="N36" s="127" t="n">
        <f aca="false">ROUND(M36*$D$25,0)</f>
        <v>0</v>
      </c>
      <c r="O36" s="43"/>
      <c r="S36" s="43"/>
      <c r="T36" s="12"/>
      <c r="U36" s="12"/>
      <c r="V36" s="12"/>
      <c r="W36" s="43"/>
      <c r="X36" s="43"/>
      <c r="IQ36" s="162"/>
      <c r="IR36" s="162"/>
      <c r="IS36" s="162"/>
      <c r="IT36" s="162"/>
    </row>
    <row r="37" customFormat="false" ht="15" hidden="false" customHeight="true" outlineLevel="0" collapsed="false">
      <c r="A37" s="12"/>
      <c r="B37" s="161"/>
      <c r="C37" s="161"/>
      <c r="D37" s="161"/>
      <c r="E37" s="161"/>
      <c r="F37" s="161"/>
      <c r="G37" s="12"/>
      <c r="H37" s="113"/>
      <c r="I37" s="114"/>
      <c r="J37" s="115"/>
      <c r="L37" s="113"/>
      <c r="M37" s="114"/>
      <c r="N37" s="115"/>
      <c r="O37" s="43"/>
      <c r="P37" s="44"/>
      <c r="Q37" s="44"/>
      <c r="R37" s="44"/>
      <c r="S37" s="12"/>
      <c r="T37" s="12"/>
      <c r="U37" s="12"/>
      <c r="V37" s="12"/>
      <c r="W37" s="12"/>
      <c r="X37" s="12"/>
    </row>
    <row r="38" customFormat="false" ht="15" hidden="false" customHeight="true" outlineLevel="0" collapsed="false">
      <c r="A38" s="12"/>
      <c r="G38" s="12"/>
      <c r="H38" s="130" t="str">
        <f aca="false">$C$10&amp;" Size"</f>
        <v>Holding Size</v>
      </c>
      <c r="I38" s="130"/>
      <c r="J38" s="131" t="n">
        <f aca="false">SUM(J31:J36)</f>
        <v>8</v>
      </c>
      <c r="K38" s="109"/>
      <c r="L38" s="130" t="str">
        <f aca="false">$C$13&amp;" Size"</f>
        <v>Facility Size</v>
      </c>
      <c r="M38" s="130"/>
      <c r="N38" s="131" t="n">
        <f aca="false">SUM(N31:N36)</f>
        <v>0</v>
      </c>
      <c r="O38" s="43"/>
      <c r="P38" s="44"/>
      <c r="Q38" s="44"/>
      <c r="R38" s="44"/>
      <c r="S38" s="12"/>
      <c r="T38" s="12"/>
      <c r="U38" s="12"/>
      <c r="V38" s="12"/>
      <c r="W38" s="12"/>
      <c r="X38" s="12"/>
    </row>
    <row r="39" customFormat="false" ht="19.5" hidden="false" customHeight="true" outlineLevel="0" collapsed="false">
      <c r="A39" s="12"/>
      <c r="G39" s="12"/>
      <c r="H39" s="134" t="s">
        <v>234</v>
      </c>
      <c r="I39" s="124"/>
      <c r="J39" s="135" t="n">
        <f aca="false">IF($F$10="No", J38, J38*$D$18)</f>
        <v>8</v>
      </c>
      <c r="K39" s="109"/>
      <c r="L39" s="134" t="s">
        <v>234</v>
      </c>
      <c r="M39" s="124"/>
      <c r="N39" s="135" t="n">
        <f aca="false">IF($F$13="No", N38, N38*$D$18)</f>
        <v>0</v>
      </c>
      <c r="O39" s="43"/>
      <c r="P39" s="44"/>
      <c r="Q39" s="44"/>
      <c r="R39" s="44"/>
      <c r="S39" s="12"/>
      <c r="T39" s="12"/>
      <c r="U39" s="12"/>
      <c r="V39" s="12"/>
      <c r="W39" s="12"/>
      <c r="X39" s="12"/>
    </row>
    <row r="40" customFormat="false" ht="15" hidden="false" customHeight="true" outlineLevel="0" collapsed="false">
      <c r="A40" s="12"/>
      <c r="G40" s="12"/>
      <c r="H40" s="150"/>
      <c r="I40" s="150"/>
      <c r="J40" s="130" t="s">
        <v>252</v>
      </c>
      <c r="K40" s="109"/>
      <c r="L40" s="150"/>
      <c r="M40" s="150"/>
      <c r="N40" s="130" t="s">
        <v>252</v>
      </c>
      <c r="O40" s="43"/>
      <c r="P40" s="44"/>
      <c r="Q40" s="44"/>
      <c r="R40" s="44"/>
      <c r="S40" s="12"/>
      <c r="T40" s="12"/>
      <c r="U40" s="12"/>
      <c r="V40" s="12"/>
      <c r="W40" s="12"/>
      <c r="X40" s="12"/>
    </row>
    <row r="41" customFormat="false" ht="15" hidden="false" customHeight="true" outlineLevel="0" collapsed="false">
      <c r="A41" s="12"/>
      <c r="G41" s="12"/>
      <c r="O41" s="43"/>
      <c r="S41" s="12"/>
      <c r="T41" s="12"/>
      <c r="U41" s="12"/>
      <c r="V41" s="12"/>
      <c r="W41" s="12"/>
      <c r="X41" s="12"/>
    </row>
    <row r="42" customFormat="false" ht="15" hidden="false" customHeight="true" outlineLevel="0" collapsed="false">
      <c r="A42" s="12"/>
      <c r="G42" s="12"/>
      <c r="O42" s="43"/>
      <c r="S42" s="12"/>
      <c r="T42" s="12"/>
      <c r="U42" s="12"/>
      <c r="V42" s="12"/>
      <c r="W42" s="12"/>
      <c r="X42" s="12"/>
    </row>
    <row r="43" customFormat="false" ht="15" hidden="false" customHeight="true" outlineLevel="0" collapsed="false">
      <c r="A43" s="12"/>
      <c r="G43" s="12"/>
      <c r="O43" s="43"/>
      <c r="S43" s="12"/>
      <c r="T43" s="12"/>
      <c r="U43" s="12"/>
      <c r="V43" s="12"/>
      <c r="W43" s="12"/>
      <c r="X43" s="12"/>
    </row>
    <row r="44" customFormat="false" ht="15" hidden="false" customHeight="true" outlineLevel="0" collapsed="false">
      <c r="A44" s="12"/>
      <c r="G44" s="12"/>
      <c r="O44" s="12"/>
      <c r="S44" s="12"/>
      <c r="T44" s="12"/>
      <c r="U44" s="12"/>
      <c r="V44" s="12"/>
      <c r="W44" s="12"/>
      <c r="X44" s="12"/>
    </row>
    <row r="45" customFormat="false" ht="15" hidden="false" customHeight="true" outlineLevel="0" collapsed="false">
      <c r="A45" s="12"/>
      <c r="G45" s="12"/>
      <c r="O45" s="12"/>
      <c r="P45" s="12"/>
      <c r="Q45" s="12"/>
      <c r="R45" s="12"/>
      <c r="S45" s="12"/>
      <c r="T45" s="12"/>
      <c r="U45" s="12"/>
      <c r="V45" s="12"/>
      <c r="W45" s="12"/>
      <c r="X45" s="12"/>
    </row>
    <row r="46" customFormat="false" ht="15" hidden="false" customHeight="true" outlineLevel="0" collapsed="false">
      <c r="A46" s="12"/>
      <c r="G46" s="12"/>
      <c r="O46" s="12"/>
      <c r="P46" s="12"/>
      <c r="Q46" s="12"/>
      <c r="R46" s="12"/>
      <c r="S46" s="12"/>
      <c r="T46" s="12"/>
      <c r="U46" s="12"/>
      <c r="V46" s="12"/>
      <c r="W46" s="12"/>
      <c r="X46" s="12"/>
    </row>
    <row r="47" customFormat="false" ht="15" hidden="false" customHeight="true" outlineLevel="0" collapsed="false">
      <c r="A47" s="12"/>
      <c r="G47" s="12"/>
      <c r="O47" s="12"/>
      <c r="P47" s="12"/>
      <c r="Q47" s="12"/>
      <c r="R47" s="12"/>
      <c r="S47" s="12"/>
      <c r="T47" s="12"/>
      <c r="U47" s="12"/>
      <c r="V47" s="12"/>
      <c r="W47" s="12"/>
      <c r="X47" s="12"/>
    </row>
    <row r="48" customFormat="false" ht="15" hidden="false" customHeight="true" outlineLevel="0" collapsed="false">
      <c r="A48" s="12"/>
      <c r="G48" s="12"/>
      <c r="H48" s="12"/>
      <c r="I48" s="12"/>
      <c r="J48" s="12"/>
      <c r="K48" s="12"/>
      <c r="L48" s="12"/>
      <c r="M48" s="12"/>
      <c r="N48" s="12"/>
      <c r="O48" s="12"/>
      <c r="P48" s="12"/>
      <c r="Q48" s="12"/>
      <c r="R48" s="12"/>
      <c r="S48" s="12"/>
      <c r="T48" s="12"/>
      <c r="U48" s="12"/>
      <c r="V48" s="12"/>
      <c r="W48" s="12"/>
      <c r="X48" s="12"/>
    </row>
    <row r="49" customFormat="false" ht="15" hidden="false" customHeight="true" outlineLevel="0" collapsed="false">
      <c r="A49" s="12"/>
      <c r="G49" s="12"/>
      <c r="H49" s="12"/>
      <c r="I49" s="12"/>
      <c r="J49" s="12"/>
      <c r="K49" s="12"/>
      <c r="L49" s="12"/>
      <c r="M49" s="12"/>
      <c r="N49" s="12"/>
      <c r="O49" s="12"/>
      <c r="P49" s="12"/>
      <c r="Q49" s="12"/>
      <c r="R49" s="12"/>
      <c r="S49" s="12"/>
      <c r="W49" s="12"/>
      <c r="X49" s="12"/>
    </row>
    <row r="52" customFormat="false" ht="15" hidden="false" customHeight="true" outlineLevel="0" collapsed="false">
      <c r="B52" s="12"/>
    </row>
  </sheetData>
  <sheetProtection algorithmName="SHA-512" hashValue="DSQSYb5M4fclvU0VdJYy7Ez6PtWN5BpcMHwOGxTDeJYZnYvRgs6VdEqcNqJ302ueRj69lpx1n49FrekVl9jUpw==" saltValue="OtkTnLZk7QDSXYOA73ewKg==" spinCount="100000" sheet="true" objects="true" scenarios="true"/>
  <mergeCells count="13">
    <mergeCell ref="B2:F2"/>
    <mergeCell ref="H2:J2"/>
    <mergeCell ref="L2:N2"/>
    <mergeCell ref="P2:R2"/>
    <mergeCell ref="T2:V2"/>
    <mergeCell ref="D3:E3"/>
    <mergeCell ref="H16:J16"/>
    <mergeCell ref="L16:N16"/>
    <mergeCell ref="P16:R16"/>
    <mergeCell ref="D21:E21"/>
    <mergeCell ref="H29:J29"/>
    <mergeCell ref="L29:N29"/>
    <mergeCell ref="B36:F37"/>
  </mergeCells>
  <dataValidations count="1">
    <dataValidation allowBlank="true" errorStyle="stop" operator="between" showDropDown="false" showErrorMessage="true" showInputMessage="true" sqref="F4:F13" type="list">
      <formula1>Lookup!$D$4:$D$5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4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0.71"/>
    <col collapsed="false" customWidth="true" hidden="false" outlineLevel="0" max="5" min="5" style="164" width="3.71"/>
    <col collapsed="false" customWidth="true" hidden="false" outlineLevel="0" max="6" min="6" style="163" width="21"/>
    <col collapsed="false" customWidth="true" hidden="false" outlineLevel="0" max="7" min="7" style="164" width="17.71"/>
    <col collapsed="false" customWidth="true" hidden="false" outlineLevel="0" max="8" min="8" style="163" width="10.71"/>
    <col collapsed="false" customWidth="true" hidden="false" outlineLevel="0" max="9" min="9" style="164" width="3.71"/>
    <col collapsed="false" customWidth="true" hidden="false" outlineLevel="0" max="10" min="10" style="163" width="21"/>
    <col collapsed="false" customWidth="true" hidden="false" outlineLevel="0" max="11" min="11" style="164" width="17.71"/>
    <col collapsed="false" customWidth="true" hidden="false" outlineLevel="0" max="12" min="12" style="163" width="10.71"/>
    <col collapsed="false" customWidth="true" hidden="false" outlineLevel="0" max="13" min="13" style="164" width="3.71"/>
    <col collapsed="false" customWidth="true" hidden="false" outlineLevel="0" max="14" min="14" style="163" width="21"/>
    <col collapsed="false" customWidth="true" hidden="false" outlineLevel="0" max="15" min="15" style="164" width="17.71"/>
    <col collapsed="false" customWidth="true" hidden="false" outlineLevel="0" max="16" min="16" style="163" width="10.71"/>
    <col collapsed="false" customWidth="true" hidden="false" outlineLevel="0" max="17" min="17" style="164" width="3.71"/>
    <col collapsed="false" customWidth="true" hidden="false" outlineLevel="0" max="18" min="18" style="163" width="21"/>
    <col collapsed="false" customWidth="true" hidden="false" outlineLevel="0" max="19" min="19" style="164" width="17.71"/>
    <col collapsed="false" customWidth="true" hidden="false" outlineLevel="0" max="20" min="20" style="163" width="10.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165"/>
      <c r="G1" s="109"/>
      <c r="H1" s="165"/>
      <c r="I1" s="109"/>
      <c r="J1" s="165"/>
      <c r="K1" s="109"/>
      <c r="L1" s="165"/>
      <c r="M1" s="43"/>
      <c r="N1" s="165"/>
      <c r="O1" s="109"/>
      <c r="P1" s="165"/>
      <c r="Q1" s="43"/>
      <c r="R1" s="165"/>
      <c r="S1" s="109"/>
      <c r="T1" s="165"/>
      <c r="U1" s="43"/>
      <c r="V1" s="43"/>
      <c r="IO1" s="162"/>
      <c r="IP1" s="162"/>
      <c r="IQ1" s="162"/>
      <c r="IR1" s="162"/>
    </row>
    <row r="2" customFormat="false" ht="20.25" hidden="false" customHeight="true" outlineLevel="0" collapsed="false">
      <c r="A2" s="12"/>
      <c r="B2" s="166" t="s">
        <v>263</v>
      </c>
      <c r="F2" s="166" t="s">
        <v>264</v>
      </c>
      <c r="J2" s="166" t="s">
        <v>265</v>
      </c>
      <c r="N2" s="166" t="s">
        <v>266</v>
      </c>
      <c r="R2" s="166" t="s">
        <v>267</v>
      </c>
    </row>
    <row r="3" customFormat="false" ht="15" hidden="false" customHeight="true" outlineLevel="0" collapsed="false">
      <c r="A3" s="12"/>
      <c r="B3" s="167" t="s">
        <v>268</v>
      </c>
      <c r="C3" s="168" t="s">
        <v>269</v>
      </c>
      <c r="D3" s="167" t="s">
        <v>270</v>
      </c>
      <c r="F3" s="167" t="s">
        <v>268</v>
      </c>
      <c r="G3" s="168" t="s">
        <v>269</v>
      </c>
      <c r="H3" s="167" t="s">
        <v>270</v>
      </c>
      <c r="J3" s="167" t="s">
        <v>268</v>
      </c>
      <c r="K3" s="168" t="s">
        <v>269</v>
      </c>
      <c r="L3" s="167" t="s">
        <v>270</v>
      </c>
      <c r="N3" s="167" t="s">
        <v>268</v>
      </c>
      <c r="O3" s="168" t="s">
        <v>269</v>
      </c>
      <c r="P3" s="167" t="s">
        <v>270</v>
      </c>
      <c r="R3" s="167" t="s">
        <v>268</v>
      </c>
      <c r="S3" s="168" t="s">
        <v>269</v>
      </c>
      <c r="T3" s="167" t="s">
        <v>270</v>
      </c>
    </row>
    <row r="4" customFormat="false" ht="6.75" hidden="false" customHeight="true" outlineLevel="0" collapsed="false">
      <c r="A4" s="12"/>
      <c r="B4" s="169"/>
      <c r="C4" s="170"/>
      <c r="D4" s="171"/>
      <c r="F4" s="169"/>
      <c r="G4" s="170"/>
      <c r="H4" s="171"/>
      <c r="J4" s="169"/>
      <c r="K4" s="170"/>
      <c r="L4" s="171"/>
      <c r="N4" s="169"/>
      <c r="O4" s="170"/>
      <c r="P4" s="171"/>
      <c r="R4" s="169"/>
      <c r="S4" s="170"/>
      <c r="T4" s="171"/>
    </row>
    <row r="5" customFormat="false" ht="15" hidden="false" customHeight="true" outlineLevel="0" collapsed="false">
      <c r="A5" s="12"/>
      <c r="B5" s="172" t="str">
        <f aca="false">'Datasize-Parameters'!$C$4</f>
        <v>Account</v>
      </c>
      <c r="C5" s="173" t="n">
        <f aca="false">'Customer Volumes'!D5</f>
        <v>25786541</v>
      </c>
      <c r="D5" s="174" t="n">
        <f aca="false">C5*'Datasize-Parameters'!$J$13/(1024*1024)</f>
        <v>467.247275352478</v>
      </c>
      <c r="F5" s="172" t="str">
        <f aca="false">'Datasize-Parameters'!$C$4</f>
        <v>Account</v>
      </c>
      <c r="G5" s="173" t="n">
        <f aca="false">'Customer Volumes'!E5</f>
        <v>28365195.1</v>
      </c>
      <c r="H5" s="174" t="n">
        <f aca="false">G5*'Datasize-Parameters'!$J$13/(1024*1024)</f>
        <v>513.972002887726</v>
      </c>
      <c r="J5" s="172" t="str">
        <f aca="false">'Datasize-Parameters'!$C$4</f>
        <v>Account</v>
      </c>
      <c r="K5" s="173" t="n">
        <f aca="false">'Customer Volumes'!F5</f>
        <v>31201714.61</v>
      </c>
      <c r="L5" s="174" t="n">
        <f aca="false">K5*'Datasize-Parameters'!$J$13/(1024*1024)</f>
        <v>565.369203176498</v>
      </c>
      <c r="N5" s="172" t="str">
        <f aca="false">'Datasize-Parameters'!$C$4</f>
        <v>Account</v>
      </c>
      <c r="O5" s="173" t="n">
        <f aca="false">'Customer Volumes'!G5</f>
        <v>34321886.071</v>
      </c>
      <c r="P5" s="174" t="n">
        <f aca="false">O5*'Datasize-Parameters'!$J$13/(1024*1024)</f>
        <v>621.906123494149</v>
      </c>
      <c r="R5" s="172" t="str">
        <f aca="false">'Datasize-Parameters'!$C$4</f>
        <v>Account</v>
      </c>
      <c r="S5" s="173" t="n">
        <f aca="false">'Customer Volumes'!H5</f>
        <v>37754074.6781</v>
      </c>
      <c r="T5" s="174" t="n">
        <f aca="false">S5*'Datasize-Parameters'!$J$13/(1024*1024)</f>
        <v>684.096735843563</v>
      </c>
    </row>
    <row r="6" customFormat="false" ht="15" hidden="false" customHeight="true" outlineLevel="0" collapsed="false">
      <c r="A6" s="12"/>
      <c r="B6" s="172" t="str">
        <f aca="false">'Datasize-Parameters'!$C$5</f>
        <v>Lead</v>
      </c>
      <c r="C6" s="173" t="n">
        <f aca="false">'Customer Volumes'!D7</f>
        <v>10700000</v>
      </c>
      <c r="D6" s="174" t="n">
        <f aca="false">C6*'Datasize-Parameters'!$N$13/(1024*1024)</f>
        <v>408.172607421875</v>
      </c>
      <c r="F6" s="172" t="str">
        <f aca="false">'Datasize-Parameters'!$C$5</f>
        <v>Lead</v>
      </c>
      <c r="G6" s="173" t="n">
        <f aca="false">'Customer Volumes'!E7</f>
        <v>11770000</v>
      </c>
      <c r="H6" s="174" t="n">
        <f aca="false">G6*'Datasize-Parameters'!$N$13/(1024*1024)</f>
        <v>448.989868164063</v>
      </c>
      <c r="J6" s="172" t="str">
        <f aca="false">'Datasize-Parameters'!$C$5</f>
        <v>Lead</v>
      </c>
      <c r="K6" s="173" t="n">
        <f aca="false">'Customer Volumes'!F7</f>
        <v>12947000</v>
      </c>
      <c r="L6" s="174" t="n">
        <f aca="false">K6*'Datasize-Parameters'!$N$13/(1024*1024)</f>
        <v>493.888854980469</v>
      </c>
      <c r="N6" s="172" t="str">
        <f aca="false">'Datasize-Parameters'!$C$5</f>
        <v>Lead</v>
      </c>
      <c r="O6" s="173" t="n">
        <f aca="false">'Customer Volumes'!G7</f>
        <v>14241700</v>
      </c>
      <c r="P6" s="174" t="n">
        <f aca="false">O6*'Datasize-Parameters'!$N$13/(1024*1024)</f>
        <v>543.277740478516</v>
      </c>
      <c r="R6" s="172" t="str">
        <f aca="false">'Datasize-Parameters'!$C$5</f>
        <v>Lead</v>
      </c>
      <c r="S6" s="173" t="n">
        <f aca="false">'Customer Volumes'!H7</f>
        <v>15665870</v>
      </c>
      <c r="T6" s="174" t="n">
        <f aca="false">S6*'Datasize-Parameters'!$N$13/(1024*1024)</f>
        <v>597.605514526367</v>
      </c>
    </row>
    <row r="7" customFormat="false" ht="15" hidden="false" customHeight="true" outlineLevel="0" collapsed="false">
      <c r="A7" s="12"/>
      <c r="B7" s="172" t="str">
        <f aca="false">'Datasize-Parameters'!$C$6</f>
        <v>Service Request (Case)</v>
      </c>
      <c r="C7" s="173" t="n">
        <f aca="false">'Customer Volumes'!D9</f>
        <v>20000</v>
      </c>
      <c r="D7" s="174" t="n">
        <f aca="false">C7*'Datasize-Parameters'!$R$13/(1024*1024)</f>
        <v>0.715255737304688</v>
      </c>
      <c r="F7" s="172" t="str">
        <f aca="false">'Datasize-Parameters'!$C$6</f>
        <v>Service Request (Case)</v>
      </c>
      <c r="G7" s="173" t="n">
        <f aca="false">'Customer Volumes'!E9</f>
        <v>21000</v>
      </c>
      <c r="H7" s="174" t="n">
        <f aca="false">G7*'Datasize-Parameters'!$R$13/(1024*1024)</f>
        <v>0.751018524169922</v>
      </c>
      <c r="J7" s="172" t="str">
        <f aca="false">'Datasize-Parameters'!$C$6</f>
        <v>Service Request (Case)</v>
      </c>
      <c r="K7" s="173" t="n">
        <f aca="false">'Customer Volumes'!F9</f>
        <v>22050</v>
      </c>
      <c r="L7" s="174" t="n">
        <f aca="false">K7*'Datasize-Parameters'!$R$13/(1024*1024)</f>
        <v>0.788569450378418</v>
      </c>
      <c r="N7" s="172" t="str">
        <f aca="false">'Datasize-Parameters'!$C$6</f>
        <v>Service Request (Case)</v>
      </c>
      <c r="O7" s="173" t="n">
        <f aca="false">'Customer Volumes'!G9</f>
        <v>23152.5</v>
      </c>
      <c r="P7" s="174" t="n">
        <f aca="false">O7*'Datasize-Parameters'!$R$13/(1024*1024)</f>
        <v>0.827997922897339</v>
      </c>
      <c r="R7" s="172" t="str">
        <f aca="false">'Datasize-Parameters'!$C$6</f>
        <v>Service Request (Case)</v>
      </c>
      <c r="S7" s="173" t="n">
        <f aca="false">'Customer Volumes'!H9</f>
        <v>24310.125</v>
      </c>
      <c r="T7" s="174" t="n">
        <f aca="false">S7*'Datasize-Parameters'!$R$13/(1024*1024)</f>
        <v>0.869397819042206</v>
      </c>
    </row>
    <row r="8" customFormat="false" ht="15" hidden="false" customHeight="true" outlineLevel="0" collapsed="false">
      <c r="A8" s="12"/>
      <c r="B8" s="172" t="str">
        <f aca="false">'Datasize-Parameters'!$C$7</f>
        <v>Campaign</v>
      </c>
      <c r="C8" s="173" t="n">
        <f aca="false">'Customer Volumes'!D11</f>
        <v>50</v>
      </c>
      <c r="D8" s="174" t="n">
        <f aca="false">C8*'Datasize-Parameters'!$J$26/(1024*1024)</f>
        <v>0.00057220458984375</v>
      </c>
      <c r="F8" s="172" t="str">
        <f aca="false">'Datasize-Parameters'!$C$7</f>
        <v>Campaign</v>
      </c>
      <c r="G8" s="173" t="n">
        <f aca="false">'Customer Volumes'!E11</f>
        <v>50</v>
      </c>
      <c r="H8" s="174" t="n">
        <f aca="false">G8*'Datasize-Parameters'!$J$26/(1024*1024)</f>
        <v>0.00057220458984375</v>
      </c>
      <c r="J8" s="172" t="str">
        <f aca="false">'Datasize-Parameters'!$C$7</f>
        <v>Campaign</v>
      </c>
      <c r="K8" s="173" t="n">
        <f aca="false">'Customer Volumes'!F11</f>
        <v>50</v>
      </c>
      <c r="L8" s="174" t="n">
        <f aca="false">K8*'Datasize-Parameters'!$J$26/(1024*1024)</f>
        <v>0.00057220458984375</v>
      </c>
      <c r="N8" s="172" t="str">
        <f aca="false">'Datasize-Parameters'!$C$7</f>
        <v>Campaign</v>
      </c>
      <c r="O8" s="173" t="n">
        <f aca="false">'Customer Volumes'!G11</f>
        <v>50</v>
      </c>
      <c r="P8" s="174" t="n">
        <f aca="false">O8*'Datasize-Parameters'!$J$26/(1024*1024)</f>
        <v>0.00057220458984375</v>
      </c>
      <c r="R8" s="172" t="str">
        <f aca="false">'Datasize-Parameters'!$C$7</f>
        <v>Campaign</v>
      </c>
      <c r="S8" s="173" t="n">
        <v>0</v>
      </c>
      <c r="T8" s="174" t="n">
        <f aca="false">S8*'Datasize-Parameters'!$J$26/(1024*1024)</f>
        <v>0</v>
      </c>
    </row>
    <row r="9" customFormat="false" ht="15" hidden="false" customHeight="true" outlineLevel="0" collapsed="false">
      <c r="A9" s="12"/>
      <c r="B9" s="172" t="str">
        <f aca="false">'Datasize-Parameters'!$C$8</f>
        <v>Offer</v>
      </c>
      <c r="C9" s="173" t="n">
        <v>0</v>
      </c>
      <c r="D9" s="174" t="n">
        <f aca="false">C9*'Datasize-Parameters'!$N$26/(1024*1024)</f>
        <v>0</v>
      </c>
      <c r="F9" s="172" t="str">
        <f aca="false">'Datasize-Parameters'!$C$8</f>
        <v>Offer</v>
      </c>
      <c r="G9" s="173" t="n">
        <v>0</v>
      </c>
      <c r="H9" s="174" t="n">
        <f aca="false">G9*'Datasize-Parameters'!$N$26/(1024*1024)</f>
        <v>0</v>
      </c>
      <c r="J9" s="172" t="str">
        <f aca="false">'Datasize-Parameters'!$C$8</f>
        <v>Offer</v>
      </c>
      <c r="K9" s="173" t="n">
        <v>0</v>
      </c>
      <c r="L9" s="174" t="n">
        <f aca="false">K9*'Datasize-Parameters'!$N$26/(1024*1024)</f>
        <v>0</v>
      </c>
      <c r="N9" s="172" t="str">
        <f aca="false">'Datasize-Parameters'!$C$8</f>
        <v>Offer</v>
      </c>
      <c r="O9" s="173" t="n">
        <v>0</v>
      </c>
      <c r="P9" s="174" t="n">
        <f aca="false">O9*'Datasize-Parameters'!$N$26/(1024*1024)</f>
        <v>0</v>
      </c>
      <c r="R9" s="172" t="str">
        <f aca="false">'Datasize-Parameters'!$C$8</f>
        <v>Offer</v>
      </c>
      <c r="S9" s="173" t="n">
        <v>0</v>
      </c>
      <c r="T9" s="174" t="n">
        <f aca="false">S9*'Datasize-Parameters'!$N$26/(1024*1024)</f>
        <v>0</v>
      </c>
    </row>
    <row r="10" customFormat="false" ht="15" hidden="false" customHeight="true" outlineLevel="0" collapsed="false">
      <c r="A10" s="12"/>
      <c r="B10" s="172" t="str">
        <f aca="false">'Datasize-Parameters'!$C$9</f>
        <v>Credit</v>
      </c>
      <c r="C10" s="173" t="n">
        <v>0</v>
      </c>
      <c r="D10" s="174" t="n">
        <f aca="false">C10*'Datasize-Parameters'!$R$26/(1024*1024)</f>
        <v>0</v>
      </c>
      <c r="F10" s="172" t="str">
        <f aca="false">'Datasize-Parameters'!$C$9</f>
        <v>Credit</v>
      </c>
      <c r="G10" s="173" t="n">
        <v>0</v>
      </c>
      <c r="H10" s="174" t="n">
        <f aca="false">G10*'Datasize-Parameters'!$R$26/(1024*1024)</f>
        <v>0</v>
      </c>
      <c r="J10" s="172" t="str">
        <f aca="false">'Datasize-Parameters'!$C$9</f>
        <v>Credit</v>
      </c>
      <c r="K10" s="173" t="n">
        <v>0</v>
      </c>
      <c r="L10" s="174" t="n">
        <f aca="false">K10*'Datasize-Parameters'!$R$26/(1024*1024)</f>
        <v>0</v>
      </c>
      <c r="N10" s="172" t="str">
        <f aca="false">'Datasize-Parameters'!$C$9</f>
        <v>Credit</v>
      </c>
      <c r="O10" s="173" t="n">
        <v>0</v>
      </c>
      <c r="P10" s="174" t="n">
        <f aca="false">O10*'Datasize-Parameters'!$R$26/(1024*1024)</f>
        <v>0</v>
      </c>
      <c r="R10" s="172" t="str">
        <f aca="false">'Datasize-Parameters'!$C$9</f>
        <v>Credit</v>
      </c>
      <c r="S10" s="173" t="n">
        <v>0</v>
      </c>
      <c r="T10" s="174" t="n">
        <f aca="false">S10*'Datasize-Parameters'!$R$26/(1024*1024)</f>
        <v>0</v>
      </c>
    </row>
    <row r="11" customFormat="false" ht="15" hidden="false" customHeight="true" outlineLevel="0" collapsed="false">
      <c r="A11" s="12"/>
      <c r="B11" s="172" t="str">
        <f aca="false">'Datasize-Parameters'!$C$10</f>
        <v>Holding</v>
      </c>
      <c r="C11" s="173" t="n">
        <f aca="false">'Customer Volumes'!D5*'Customer Volumes'!D12</f>
        <v>25786541</v>
      </c>
      <c r="D11" s="174" t="n">
        <f aca="false">C11*'Datasize-Parameters'!$J$39/(1024*1024)</f>
        <v>196.735694885254</v>
      </c>
      <c r="F11" s="172" t="str">
        <f aca="false">'Datasize-Parameters'!$C$10</f>
        <v>Holding</v>
      </c>
      <c r="G11" s="173" t="n">
        <f aca="false">'Customer Volumes'!E5*'Customer Volumes'!E12</f>
        <v>28365195.1</v>
      </c>
      <c r="H11" s="174" t="n">
        <f aca="false">G11*'Datasize-Parameters'!$J$39/(1024*1024)</f>
        <v>216.409264373779</v>
      </c>
      <c r="J11" s="172" t="str">
        <f aca="false">'Datasize-Parameters'!$C$10</f>
        <v>Holding</v>
      </c>
      <c r="K11" s="173" t="n">
        <f aca="false">'Customer Volumes'!F5*'Customer Volumes'!F12</f>
        <v>31201714.61</v>
      </c>
      <c r="L11" s="174" t="n">
        <f aca="false">K11*'Datasize-Parameters'!$J$39/(1024*1024)</f>
        <v>238.050190811157</v>
      </c>
      <c r="N11" s="172" t="str">
        <f aca="false">'Datasize-Parameters'!$C$10</f>
        <v>Holding</v>
      </c>
      <c r="O11" s="173" t="n">
        <f aca="false">'Customer Volumes'!G5*'Customer Volumes'!G12</f>
        <v>34321886.071</v>
      </c>
      <c r="P11" s="174" t="n">
        <f aca="false">O11*'Datasize-Parameters'!$J$39/(1024*1024)</f>
        <v>261.855209892273</v>
      </c>
      <c r="R11" s="172" t="str">
        <f aca="false">'Datasize-Parameters'!$C$10</f>
        <v>Holding</v>
      </c>
      <c r="S11" s="173" t="n">
        <f aca="false">'Customer Volumes'!H5*'Customer Volumes'!H12</f>
        <v>37754074.6781</v>
      </c>
      <c r="T11" s="174" t="n">
        <f aca="false">S11*'Datasize-Parameters'!$J$39/(1024*1024)</f>
        <v>288.0407308815</v>
      </c>
    </row>
    <row r="12" customFormat="false" ht="15" hidden="false" customHeight="true" outlineLevel="0" collapsed="false">
      <c r="A12" s="12"/>
      <c r="B12" s="172" t="str">
        <f aca="false">'Datasize-Parameters'!$C$13</f>
        <v>Facility</v>
      </c>
      <c r="C12" s="173" t="n">
        <v>0</v>
      </c>
      <c r="D12" s="174" t="n">
        <f aca="false">C12*'Datasize-Parameters'!$N$39/(1024*1024)</f>
        <v>0</v>
      </c>
      <c r="F12" s="172" t="str">
        <f aca="false">'Datasize-Parameters'!$C$13</f>
        <v>Facility</v>
      </c>
      <c r="G12" s="173" t="n">
        <v>0</v>
      </c>
      <c r="H12" s="174" t="n">
        <f aca="false">G12*'Datasize-Parameters'!$N$39/(1024*1024)</f>
        <v>0</v>
      </c>
      <c r="J12" s="172" t="str">
        <f aca="false">'Datasize-Parameters'!$C$13</f>
        <v>Facility</v>
      </c>
      <c r="K12" s="173" t="n">
        <v>0</v>
      </c>
      <c r="L12" s="174" t="n">
        <f aca="false">K12*'Datasize-Parameters'!$N$39/(1024*1024)</f>
        <v>0</v>
      </c>
      <c r="N12" s="172" t="str">
        <f aca="false">'Datasize-Parameters'!$C$13</f>
        <v>Facility</v>
      </c>
      <c r="O12" s="173" t="n">
        <v>0</v>
      </c>
      <c r="P12" s="174" t="n">
        <f aca="false">O12*'Datasize-Parameters'!$N$39/(1024*1024)</f>
        <v>0</v>
      </c>
      <c r="R12" s="172" t="str">
        <f aca="false">'Datasize-Parameters'!$C$13</f>
        <v>Facility</v>
      </c>
      <c r="S12" s="173" t="n">
        <v>0</v>
      </c>
      <c r="T12" s="174" t="n">
        <f aca="false">S12*'Datasize-Parameters'!$N$39/(1024*1024)</f>
        <v>0</v>
      </c>
    </row>
    <row r="13" customFormat="false" ht="15" hidden="false" customHeight="true" outlineLevel="0" collapsed="false">
      <c r="B13" s="172" t="s">
        <v>247</v>
      </c>
      <c r="C13" s="173" t="n">
        <v>0</v>
      </c>
      <c r="D13" s="174" t="n">
        <f aca="false">C13*'Datasize-Parameters'!$D$22/(1024*1024)</f>
        <v>0</v>
      </c>
      <c r="F13" s="172" t="s">
        <v>247</v>
      </c>
      <c r="G13" s="173" t="n">
        <v>0</v>
      </c>
      <c r="H13" s="174" t="n">
        <f aca="false">G13*'Datasize-Parameters'!$D$22/(1024*1024)</f>
        <v>0</v>
      </c>
      <c r="J13" s="172" t="s">
        <v>247</v>
      </c>
      <c r="K13" s="173" t="n">
        <v>0</v>
      </c>
      <c r="L13" s="174" t="n">
        <f aca="false">K13*'Datasize-Parameters'!$D$22/(1024*1024)</f>
        <v>0</v>
      </c>
      <c r="N13" s="172" t="s">
        <v>247</v>
      </c>
      <c r="O13" s="173" t="n">
        <v>0</v>
      </c>
      <c r="P13" s="174" t="n">
        <f aca="false">O13*'Datasize-Parameters'!$D$22/(1024*1024)</f>
        <v>0</v>
      </c>
      <c r="R13" s="172" t="s">
        <v>247</v>
      </c>
      <c r="S13" s="173" t="n">
        <v>0</v>
      </c>
      <c r="T13" s="174" t="n">
        <f aca="false">S13*'Datasize-Parameters'!$D$22/(1024*1024)</f>
        <v>0</v>
      </c>
    </row>
    <row r="14" customFormat="false" ht="15" hidden="false" customHeight="true" outlineLevel="0" collapsed="false">
      <c r="B14" s="172" t="s">
        <v>248</v>
      </c>
      <c r="C14" s="173" t="n">
        <v>0</v>
      </c>
      <c r="D14" s="174" t="n">
        <f aca="false">C14*'Datasize-Parameters'!$D$23/(1024*1024)</f>
        <v>0</v>
      </c>
      <c r="F14" s="172" t="s">
        <v>248</v>
      </c>
      <c r="G14" s="173" t="n">
        <v>0</v>
      </c>
      <c r="H14" s="174" t="n">
        <f aca="false">G14*'Datasize-Parameters'!$D$23/(1024*1024)</f>
        <v>0</v>
      </c>
      <c r="J14" s="172" t="s">
        <v>248</v>
      </c>
      <c r="K14" s="173" t="n">
        <v>0</v>
      </c>
      <c r="L14" s="174" t="n">
        <f aca="false">K14*'Datasize-Parameters'!$D$23/(1024*1024)</f>
        <v>0</v>
      </c>
      <c r="N14" s="172" t="s">
        <v>248</v>
      </c>
      <c r="O14" s="173" t="n">
        <v>0</v>
      </c>
      <c r="P14" s="174" t="n">
        <f aca="false">O14*'Datasize-Parameters'!$D$23/(1024*1024)</f>
        <v>0</v>
      </c>
      <c r="R14" s="172" t="s">
        <v>248</v>
      </c>
      <c r="S14" s="173" t="n">
        <v>0</v>
      </c>
      <c r="T14" s="174" t="n">
        <f aca="false">S14*'Datasize-Parameters'!$D$23/(1024*1024)</f>
        <v>0</v>
      </c>
    </row>
    <row r="15" customFormat="false" ht="15" hidden="false" customHeight="true" outlineLevel="0" collapsed="false">
      <c r="A15" s="12"/>
      <c r="B15" s="172" t="s">
        <v>271</v>
      </c>
      <c r="C15" s="173" t="n">
        <f aca="false">C5*0.3+C6*0.3+C7</f>
        <v>10965962.3</v>
      </c>
      <c r="D15" s="174" t="n">
        <f aca="false">C15*'Datasize-Parameters'!$V$13/(1024*1024)</f>
        <v>5.22897830009461</v>
      </c>
      <c r="F15" s="172" t="s">
        <v>271</v>
      </c>
      <c r="G15" s="173" t="n">
        <f aca="false">G5*0.3+G6*0.3+G7</f>
        <v>12061558.53</v>
      </c>
      <c r="H15" s="174" t="n">
        <f aca="false">G15*'Datasize-Parameters'!$V$13/(1024*1024)</f>
        <v>5.75139929294586</v>
      </c>
      <c r="J15" s="172" t="s">
        <v>271</v>
      </c>
      <c r="K15" s="173" t="n">
        <f aca="false">K5*0.3+K6*0.3+K7</f>
        <v>13266664.383</v>
      </c>
      <c r="L15" s="174" t="n">
        <f aca="false">K15*'Datasize-Parameters'!$V$13/(1024*1024)</f>
        <v>6.32603854322434</v>
      </c>
      <c r="N15" s="172" t="s">
        <v>271</v>
      </c>
      <c r="O15" s="173" t="n">
        <f aca="false">O5*0.3+O6*0.3+O7</f>
        <v>14592228.3213</v>
      </c>
      <c r="P15" s="174" t="n">
        <f aca="false">O15*'Datasize-Parameters'!$V$13/(1024*1024)</f>
        <v>6.95811668457985</v>
      </c>
      <c r="R15" s="172" t="s">
        <v>271</v>
      </c>
      <c r="S15" s="173" t="n">
        <f aca="false">S5*0.3+S6*0.3+S7</f>
        <v>16050293.52843</v>
      </c>
      <c r="T15" s="174" t="n">
        <f aca="false">S15*'Datasize-Parameters'!$V$13/(1024*1024)</f>
        <v>7.65337635442257</v>
      </c>
    </row>
    <row r="16" customFormat="false" ht="15" hidden="false" customHeight="true" outlineLevel="0" collapsed="false">
      <c r="A16" s="12"/>
      <c r="B16" s="175"/>
      <c r="C16" s="176"/>
      <c r="D16" s="177"/>
      <c r="F16" s="175"/>
      <c r="G16" s="176"/>
      <c r="H16" s="177"/>
      <c r="J16" s="175"/>
      <c r="K16" s="176"/>
      <c r="L16" s="177"/>
      <c r="N16" s="175"/>
      <c r="O16" s="176"/>
      <c r="P16" s="177"/>
      <c r="R16" s="175"/>
      <c r="S16" s="176"/>
      <c r="T16" s="177"/>
    </row>
    <row r="17" customFormat="false" ht="19.5" hidden="false" customHeight="true" outlineLevel="0" collapsed="false">
      <c r="A17" s="12"/>
      <c r="B17" s="178" t="s">
        <v>272</v>
      </c>
      <c r="C17" s="178"/>
      <c r="D17" s="177" t="n">
        <f aca="false">SUM(D5:D15)</f>
        <v>1078.1003839016</v>
      </c>
      <c r="F17" s="178" t="s">
        <v>272</v>
      </c>
      <c r="G17" s="178"/>
      <c r="H17" s="177" t="n">
        <f aca="false">SUM(H5:H15)</f>
        <v>1185.87412544727</v>
      </c>
      <c r="J17" s="178" t="s">
        <v>272</v>
      </c>
      <c r="K17" s="178"/>
      <c r="L17" s="177" t="n">
        <f aca="false">SUM(L5:L15)</f>
        <v>1304.42342916632</v>
      </c>
      <c r="N17" s="178" t="s">
        <v>272</v>
      </c>
      <c r="O17" s="178"/>
      <c r="P17" s="177" t="n">
        <f aca="false">SUM(P5:P15)</f>
        <v>1434.825760677</v>
      </c>
      <c r="Q17" s="179"/>
      <c r="R17" s="178" t="s">
        <v>272</v>
      </c>
      <c r="S17" s="178"/>
      <c r="T17" s="177" t="n">
        <f aca="false">SUM(T5:T15)</f>
        <v>1578.2657554249</v>
      </c>
    </row>
    <row r="18" customFormat="false" ht="23.25" hidden="false" customHeight="true" outlineLevel="0" collapsed="false">
      <c r="A18" s="12"/>
      <c r="B18" s="180"/>
      <c r="C18" s="181"/>
      <c r="D18" s="182" t="s">
        <v>273</v>
      </c>
      <c r="F18" s="180"/>
      <c r="G18" s="181"/>
      <c r="H18" s="182" t="s">
        <v>273</v>
      </c>
      <c r="J18" s="180"/>
      <c r="K18" s="181"/>
      <c r="L18" s="182" t="s">
        <v>273</v>
      </c>
      <c r="N18" s="180"/>
      <c r="O18" s="181"/>
      <c r="P18" s="182" t="s">
        <v>273</v>
      </c>
      <c r="R18" s="180"/>
      <c r="S18" s="181"/>
      <c r="T18" s="182" t="s">
        <v>273</v>
      </c>
    </row>
    <row r="19" customFormat="false" ht="19.5" hidden="false" customHeight="true" outlineLevel="0" collapsed="false">
      <c r="A19" s="12"/>
      <c r="E19" s="179"/>
      <c r="I19" s="179"/>
      <c r="M19" s="179"/>
    </row>
    <row r="20" customFormat="false" ht="19.5" hidden="false" customHeight="true" outlineLevel="0" collapsed="false">
      <c r="A20" s="12"/>
      <c r="B20" s="183" t="s">
        <v>274</v>
      </c>
      <c r="C20" s="184"/>
      <c r="D20" s="184"/>
      <c r="F20" s="183" t="s">
        <v>274</v>
      </c>
      <c r="G20" s="184"/>
      <c r="H20" s="184"/>
      <c r="J20" s="183" t="s">
        <v>274</v>
      </c>
      <c r="K20" s="184"/>
      <c r="L20" s="184"/>
      <c r="N20" s="183" t="s">
        <v>274</v>
      </c>
      <c r="O20" s="184"/>
      <c r="P20" s="184"/>
      <c r="R20" s="183" t="s">
        <v>274</v>
      </c>
      <c r="S20" s="184"/>
      <c r="T20" s="184"/>
    </row>
    <row r="21" customFormat="false" ht="15" hidden="false" customHeight="true" outlineLevel="0" collapsed="false">
      <c r="A21" s="12"/>
      <c r="B21" s="182"/>
      <c r="C21" s="185"/>
      <c r="D21" s="182"/>
      <c r="F21" s="182"/>
      <c r="G21" s="185"/>
      <c r="H21" s="182"/>
      <c r="J21" s="182"/>
      <c r="K21" s="185"/>
      <c r="L21" s="182"/>
      <c r="N21" s="182"/>
      <c r="O21" s="185"/>
      <c r="P21" s="182"/>
      <c r="R21" s="182"/>
      <c r="S21" s="185"/>
      <c r="T21" s="182"/>
    </row>
    <row r="22" customFormat="false" ht="15" hidden="false" customHeight="true" outlineLevel="0" collapsed="false">
      <c r="A22" s="12"/>
      <c r="B22" s="182" t="s">
        <v>268</v>
      </c>
      <c r="C22" s="185"/>
      <c r="D22" s="186" t="n">
        <f aca="false">D17</f>
        <v>1078.1003839016</v>
      </c>
      <c r="F22" s="182" t="s">
        <v>268</v>
      </c>
      <c r="G22" s="185"/>
      <c r="H22" s="186" t="n">
        <f aca="false">H17</f>
        <v>1185.87412544727</v>
      </c>
      <c r="J22" s="182" t="s">
        <v>268</v>
      </c>
      <c r="K22" s="185"/>
      <c r="L22" s="186" t="n">
        <f aca="false">L17</f>
        <v>1304.42342916632</v>
      </c>
      <c r="N22" s="182" t="s">
        <v>268</v>
      </c>
      <c r="O22" s="185"/>
      <c r="P22" s="186" t="n">
        <f aca="false">P17</f>
        <v>1434.825760677</v>
      </c>
      <c r="R22" s="182" t="s">
        <v>268</v>
      </c>
      <c r="S22" s="185"/>
      <c r="T22" s="186" t="n">
        <f aca="false">T17</f>
        <v>1578.2657554249</v>
      </c>
    </row>
    <row r="23" customFormat="false" ht="15" hidden="false" customHeight="true" outlineLevel="0" collapsed="false">
      <c r="A23" s="12"/>
      <c r="B23" s="182" t="s">
        <v>253</v>
      </c>
      <c r="C23" s="185"/>
      <c r="D23" s="186" t="n">
        <f aca="false">D22*'Datasize-Parameters'!$C$29</f>
        <v>161.715057585239</v>
      </c>
      <c r="F23" s="182" t="s">
        <v>253</v>
      </c>
      <c r="G23" s="185"/>
      <c r="H23" s="186" t="n">
        <f aca="false">H22*'Datasize-Parameters'!$C$29</f>
        <v>177.881118817091</v>
      </c>
      <c r="J23" s="182" t="s">
        <v>253</v>
      </c>
      <c r="K23" s="185"/>
      <c r="L23" s="186" t="n">
        <f aca="false">L22*'Datasize-Parameters'!$C$29</f>
        <v>195.663514374948</v>
      </c>
      <c r="N23" s="182" t="s">
        <v>253</v>
      </c>
      <c r="O23" s="185"/>
      <c r="P23" s="186" t="n">
        <f aca="false">P22*'Datasize-Parameters'!$C$29</f>
        <v>215.223864101551</v>
      </c>
      <c r="R23" s="182" t="s">
        <v>253</v>
      </c>
      <c r="S23" s="185"/>
      <c r="T23" s="186" t="n">
        <f aca="false">T22*'Datasize-Parameters'!$C$29</f>
        <v>236.739863313734</v>
      </c>
    </row>
    <row r="24" customFormat="false" ht="15" hidden="false" customHeight="true" outlineLevel="0" collapsed="false">
      <c r="A24" s="12"/>
      <c r="B24" s="182" t="s">
        <v>255</v>
      </c>
      <c r="C24" s="185"/>
      <c r="D24" s="186" t="n">
        <f aca="false">D22*'Datasize-Parameters'!$C$30</f>
        <v>215.620076780319</v>
      </c>
      <c r="F24" s="182" t="s">
        <v>255</v>
      </c>
      <c r="G24" s="185"/>
      <c r="H24" s="186" t="n">
        <f aca="false">H22*'Datasize-Parameters'!$C$30</f>
        <v>237.174825089455</v>
      </c>
      <c r="J24" s="182" t="s">
        <v>255</v>
      </c>
      <c r="K24" s="185"/>
      <c r="L24" s="186" t="n">
        <f aca="false">L22*'Datasize-Parameters'!$C$30</f>
        <v>260.884685833263</v>
      </c>
      <c r="N24" s="182" t="s">
        <v>255</v>
      </c>
      <c r="O24" s="185"/>
      <c r="P24" s="186" t="n">
        <f aca="false">P22*'Datasize-Parameters'!$C$30</f>
        <v>286.965152135401</v>
      </c>
      <c r="R24" s="182" t="s">
        <v>255</v>
      </c>
      <c r="S24" s="185"/>
      <c r="T24" s="186" t="n">
        <f aca="false">T22*'Datasize-Parameters'!$C$30</f>
        <v>315.653151084979</v>
      </c>
    </row>
    <row r="25" customFormat="false" ht="15" hidden="false" customHeight="true" outlineLevel="0" collapsed="false">
      <c r="A25" s="12"/>
      <c r="B25" s="182" t="s">
        <v>256</v>
      </c>
      <c r="C25" s="185"/>
      <c r="D25" s="186" t="n">
        <f aca="false">D22*'Datasize-Parameters'!$C$31</f>
        <v>215.620076780319</v>
      </c>
      <c r="F25" s="182" t="s">
        <v>256</v>
      </c>
      <c r="G25" s="185"/>
      <c r="H25" s="186" t="n">
        <f aca="false">H22*'Datasize-Parameters'!$C$31</f>
        <v>237.174825089455</v>
      </c>
      <c r="J25" s="182" t="s">
        <v>256</v>
      </c>
      <c r="K25" s="185"/>
      <c r="L25" s="186" t="n">
        <f aca="false">L22*'Datasize-Parameters'!$C$31</f>
        <v>260.884685833263</v>
      </c>
      <c r="N25" s="182" t="s">
        <v>256</v>
      </c>
      <c r="O25" s="185"/>
      <c r="P25" s="186" t="n">
        <f aca="false">P22*'Datasize-Parameters'!$C$31</f>
        <v>286.965152135401</v>
      </c>
      <c r="R25" s="182" t="s">
        <v>256</v>
      </c>
      <c r="S25" s="185"/>
      <c r="T25" s="186" t="n">
        <f aca="false">T22*'Datasize-Parameters'!$C$31</f>
        <v>315.653151084979</v>
      </c>
    </row>
    <row r="26" customFormat="false" ht="15" hidden="false" customHeight="true" outlineLevel="0" collapsed="false">
      <c r="A26" s="12"/>
      <c r="B26" s="181" t="s">
        <v>275</v>
      </c>
      <c r="C26" s="185"/>
      <c r="D26" s="186" t="n">
        <f aca="false">D22*'Datasize-Parameters'!$C$32</f>
        <v>215.620076780319</v>
      </c>
      <c r="F26" s="181" t="s">
        <v>275</v>
      </c>
      <c r="G26" s="185"/>
      <c r="H26" s="186" t="n">
        <f aca="false">H22*'Datasize-Parameters'!$C$32</f>
        <v>237.174825089455</v>
      </c>
      <c r="J26" s="181" t="s">
        <v>275</v>
      </c>
      <c r="K26" s="185"/>
      <c r="L26" s="186" t="n">
        <f aca="false">L22*'Datasize-Parameters'!$C$32</f>
        <v>260.884685833263</v>
      </c>
      <c r="N26" s="181" t="s">
        <v>275</v>
      </c>
      <c r="O26" s="185"/>
      <c r="P26" s="186" t="n">
        <f aca="false">P22*'Datasize-Parameters'!$C$32</f>
        <v>286.965152135401</v>
      </c>
      <c r="R26" s="181" t="s">
        <v>275</v>
      </c>
      <c r="S26" s="185"/>
      <c r="T26" s="186" t="n">
        <f aca="false">T22*'Datasize-Parameters'!$C$32</f>
        <v>315.653151084979</v>
      </c>
    </row>
    <row r="27" customFormat="false" ht="15" hidden="false" customHeight="true" outlineLevel="0" collapsed="false">
      <c r="A27" s="12"/>
      <c r="B27" s="182" t="s">
        <v>276</v>
      </c>
      <c r="C27" s="185"/>
      <c r="D27" s="186" t="n">
        <f aca="false">D23*'Datasize-Parameters'!$C$33</f>
        <v>40.4287643963099</v>
      </c>
      <c r="F27" s="182" t="s">
        <v>276</v>
      </c>
      <c r="G27" s="185"/>
      <c r="H27" s="186" t="n">
        <f aca="false">H23*'Datasize-Parameters'!$C$33</f>
        <v>44.4702797042728</v>
      </c>
      <c r="J27" s="182" t="s">
        <v>276</v>
      </c>
      <c r="K27" s="185"/>
      <c r="L27" s="186" t="n">
        <f aca="false">L23*'Datasize-Parameters'!$C$33</f>
        <v>48.9158785937369</v>
      </c>
      <c r="N27" s="182" t="s">
        <v>276</v>
      </c>
      <c r="O27" s="185"/>
      <c r="P27" s="186" t="n">
        <f aca="false">P23*'Datasize-Parameters'!$C$33</f>
        <v>53.8059660253877</v>
      </c>
      <c r="R27" s="182" t="s">
        <v>276</v>
      </c>
      <c r="S27" s="185"/>
      <c r="T27" s="186" t="n">
        <f aca="false">T23*'Datasize-Parameters'!$C$33</f>
        <v>59.1849658284336</v>
      </c>
    </row>
    <row r="28" customFormat="false" ht="15" hidden="false" customHeight="true" outlineLevel="0" collapsed="false">
      <c r="A28" s="12"/>
      <c r="B28" s="182" t="s">
        <v>277</v>
      </c>
      <c r="C28" s="185"/>
      <c r="D28" s="186" t="n">
        <f aca="false">D22*'Datasize-Parameters'!$C$34</f>
        <v>107.81003839016</v>
      </c>
      <c r="F28" s="182" t="s">
        <v>277</v>
      </c>
      <c r="G28" s="185"/>
      <c r="H28" s="186" t="n">
        <f aca="false">H22*'Datasize-Parameters'!$C$34</f>
        <v>118.587412544727</v>
      </c>
      <c r="J28" s="182" t="s">
        <v>277</v>
      </c>
      <c r="K28" s="185"/>
      <c r="L28" s="186" t="n">
        <f aca="false">L22*'Datasize-Parameters'!$C$34</f>
        <v>130.442342916632</v>
      </c>
      <c r="N28" s="182" t="s">
        <v>277</v>
      </c>
      <c r="O28" s="185"/>
      <c r="P28" s="186" t="n">
        <f aca="false">P22*'Datasize-Parameters'!$C$34</f>
        <v>143.4825760677</v>
      </c>
      <c r="R28" s="182" t="s">
        <v>277</v>
      </c>
      <c r="S28" s="185"/>
      <c r="T28" s="186" t="n">
        <f aca="false">T22*'Datasize-Parameters'!$C$34</f>
        <v>157.82657554249</v>
      </c>
    </row>
    <row r="29" customFormat="false" ht="15" hidden="false" customHeight="true" outlineLevel="0" collapsed="false">
      <c r="A29" s="12"/>
      <c r="B29" s="182"/>
      <c r="C29" s="185"/>
      <c r="D29" s="186"/>
      <c r="F29" s="182"/>
      <c r="G29" s="185"/>
      <c r="H29" s="186"/>
      <c r="J29" s="182"/>
      <c r="K29" s="185"/>
      <c r="L29" s="186"/>
      <c r="N29" s="182"/>
      <c r="O29" s="185"/>
      <c r="P29" s="186"/>
      <c r="R29" s="182"/>
      <c r="S29" s="185"/>
      <c r="T29" s="186"/>
    </row>
    <row r="30" customFormat="false" ht="20.25" hidden="false" customHeight="true" outlineLevel="0" collapsed="false">
      <c r="A30" s="12"/>
      <c r="B30" s="187" t="s">
        <v>278</v>
      </c>
      <c r="C30" s="185"/>
      <c r="D30" s="188" t="n">
        <f aca="false">SUM(D22:D28)</f>
        <v>2034.91447461426</v>
      </c>
      <c r="F30" s="187" t="s">
        <v>279</v>
      </c>
      <c r="G30" s="185"/>
      <c r="H30" s="188" t="n">
        <f aca="false">SUM(H22:H28)</f>
        <v>2238.33741178173</v>
      </c>
      <c r="J30" s="187" t="s">
        <v>280</v>
      </c>
      <c r="K30" s="185"/>
      <c r="L30" s="188" t="n">
        <f aca="false">SUM(L22:L28)</f>
        <v>2462.09922255142</v>
      </c>
      <c r="N30" s="187" t="s">
        <v>281</v>
      </c>
      <c r="O30" s="185"/>
      <c r="P30" s="188" t="n">
        <f aca="false">SUM(P22:P28)</f>
        <v>2708.23362327785</v>
      </c>
      <c r="R30" s="187" t="s">
        <v>282</v>
      </c>
      <c r="S30" s="185"/>
      <c r="T30" s="188" t="n">
        <f aca="false">SUM(T22:T28)</f>
        <v>2978.97661336449</v>
      </c>
    </row>
    <row r="31" customFormat="false" ht="15" hidden="false" customHeight="true" outlineLevel="0" collapsed="false">
      <c r="A31" s="12"/>
      <c r="B31" s="175" t="s">
        <v>283</v>
      </c>
      <c r="C31" s="185"/>
      <c r="D31" s="189" t="s">
        <v>284</v>
      </c>
      <c r="F31" s="175" t="s">
        <v>283</v>
      </c>
      <c r="G31" s="185"/>
      <c r="H31" s="189" t="s">
        <v>284</v>
      </c>
      <c r="J31" s="175" t="s">
        <v>283</v>
      </c>
      <c r="K31" s="185"/>
      <c r="L31" s="189" t="s">
        <v>284</v>
      </c>
      <c r="N31" s="175" t="s">
        <v>283</v>
      </c>
      <c r="O31" s="185"/>
      <c r="P31" s="189" t="s">
        <v>284</v>
      </c>
      <c r="R31" s="175" t="s">
        <v>283</v>
      </c>
      <c r="S31" s="185"/>
      <c r="T31" s="189" t="s">
        <v>284</v>
      </c>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row r="37" customFormat="false" ht="15" hidden="false" customHeight="true" outlineLevel="0" collapsed="false">
      <c r="A37" s="12"/>
    </row>
    <row r="38" customFormat="false" ht="15" hidden="false" customHeight="true" outlineLevel="0" collapsed="false">
      <c r="A38" s="12"/>
    </row>
    <row r="39" customFormat="false" ht="15" hidden="false" customHeight="true" outlineLevel="0" collapsed="false">
      <c r="A39" s="12"/>
    </row>
    <row r="40" customFormat="false" ht="15" hidden="false" customHeight="true" outlineLevel="0" collapsed="false">
      <c r="A40" s="12"/>
    </row>
    <row r="41" customFormat="false" ht="15" hidden="false" customHeight="true" outlineLevel="0" collapsed="false">
      <c r="A41" s="12"/>
    </row>
    <row r="42" customFormat="false" ht="15" hidden="false" customHeight="true" outlineLevel="0" collapsed="false">
      <c r="A42" s="12"/>
    </row>
    <row r="43" customFormat="false" ht="15" hidden="false" customHeight="true" outlineLevel="0" collapsed="false">
      <c r="A43" s="12"/>
    </row>
  </sheetData>
  <sheetProtection algorithmName="SHA-512" hashValue="t0fca3FPuK+vwfgFYIHg0VnPaBcpzMSioZeWVXCqZbgpkNMGIc5tg2INxea1dnWBwbE+1Mnvp31gl337qV2fmg==" saltValue="/+CclrriZFC4OqOjrFhdJQ==" spinCount="100000" sheet="true" objects="true" scenarios="true"/>
  <mergeCells count="5">
    <mergeCell ref="B17:C17"/>
    <mergeCell ref="F17:G17"/>
    <mergeCell ref="J17:K17"/>
    <mergeCell ref="N17:O17"/>
    <mergeCell ref="R17:S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5" activeCellId="0" sqref="C5"/>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1.43"/>
    <col collapsed="false" customWidth="true" hidden="false" outlineLevel="0" max="5" min="5" style="164" width="3.71"/>
    <col collapsed="false" customWidth="true" hidden="false" outlineLevel="0" max="6" min="6" style="164" width="21.14"/>
    <col collapsed="false" customWidth="true" hidden="false" outlineLevel="0" max="7" min="7" style="164" width="17.71"/>
    <col collapsed="false" customWidth="true" hidden="false" outlineLevel="0" max="8" min="8" style="164" width="7.71"/>
    <col collapsed="false" customWidth="true" hidden="false" outlineLevel="0" max="9" min="9" style="164" width="3.71"/>
    <col collapsed="false" customWidth="true" hidden="false" outlineLevel="0" max="10" min="10" style="164" width="21"/>
    <col collapsed="false" customWidth="true" hidden="false" outlineLevel="0" max="11" min="11" style="190" width="17.71"/>
    <col collapsed="false" customWidth="true" hidden="false" outlineLevel="0" max="12" min="12" style="164" width="7.71"/>
    <col collapsed="false" customWidth="true" hidden="false" outlineLevel="0" max="13" min="13" style="164" width="3.71"/>
    <col collapsed="false" customWidth="true" hidden="false" outlineLevel="0" max="14" min="14" style="164" width="21"/>
    <col collapsed="false" customWidth="true" hidden="false" outlineLevel="0" max="15" min="15" style="164" width="17.71"/>
    <col collapsed="false" customWidth="true" hidden="false" outlineLevel="0" max="16" min="16" style="164" width="7.71"/>
    <col collapsed="false" customWidth="true" hidden="false" outlineLevel="0" max="17" min="17" style="164" width="3.71"/>
    <col collapsed="false" customWidth="true" hidden="false" outlineLevel="0" max="18" min="18" style="164" width="21"/>
    <col collapsed="false" customWidth="true" hidden="false" outlineLevel="0" max="19" min="19" style="164" width="17.71"/>
    <col collapsed="false" customWidth="true" hidden="false" outlineLevel="0" max="20" min="20" style="164" width="7.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43"/>
      <c r="G1" s="43"/>
      <c r="H1" s="43"/>
      <c r="I1" s="109"/>
      <c r="J1" s="109"/>
      <c r="K1" s="43"/>
      <c r="L1" s="43"/>
      <c r="M1" s="43"/>
      <c r="N1" s="43" t="s">
        <v>285</v>
      </c>
      <c r="O1" s="43"/>
      <c r="P1" s="43"/>
      <c r="Q1" s="43"/>
      <c r="R1" s="43"/>
      <c r="S1" s="43"/>
      <c r="T1" s="43"/>
      <c r="U1" s="43"/>
      <c r="V1" s="43"/>
      <c r="IO1" s="162"/>
      <c r="IP1" s="162"/>
      <c r="IQ1" s="162"/>
      <c r="IR1" s="162"/>
    </row>
    <row r="2" customFormat="false" ht="20.25" hidden="false" customHeight="true" outlineLevel="0" collapsed="false">
      <c r="A2" s="12"/>
      <c r="B2" s="191" t="s">
        <v>263</v>
      </c>
      <c r="F2" s="191" t="s">
        <v>264</v>
      </c>
      <c r="J2" s="191" t="s">
        <v>265</v>
      </c>
      <c r="N2" s="191" t="s">
        <v>266</v>
      </c>
      <c r="R2" s="191" t="s">
        <v>267</v>
      </c>
    </row>
    <row r="3" customFormat="false" ht="15" hidden="false" customHeight="true" outlineLevel="0" collapsed="false">
      <c r="A3" s="12"/>
      <c r="B3" s="167" t="s">
        <v>286</v>
      </c>
      <c r="C3" s="168" t="s">
        <v>287</v>
      </c>
      <c r="D3" s="167" t="s">
        <v>270</v>
      </c>
      <c r="F3" s="167" t="s">
        <v>286</v>
      </c>
      <c r="G3" s="168" t="s">
        <v>287</v>
      </c>
      <c r="H3" s="168" t="s">
        <v>270</v>
      </c>
      <c r="J3" s="168" t="s">
        <v>268</v>
      </c>
      <c r="K3" s="168" t="s">
        <v>287</v>
      </c>
      <c r="L3" s="168" t="s">
        <v>270</v>
      </c>
      <c r="N3" s="168" t="s">
        <v>268</v>
      </c>
      <c r="O3" s="168" t="s">
        <v>287</v>
      </c>
      <c r="P3" s="168" t="s">
        <v>270</v>
      </c>
      <c r="R3" s="168" t="s">
        <v>288</v>
      </c>
      <c r="S3" s="168" t="s">
        <v>287</v>
      </c>
      <c r="T3" s="168" t="s">
        <v>270</v>
      </c>
    </row>
    <row r="4" customFormat="false" ht="6.75" hidden="false" customHeight="true" outlineLevel="0" collapsed="false">
      <c r="A4" s="12"/>
      <c r="B4" s="169"/>
      <c r="C4" s="170"/>
      <c r="D4" s="171"/>
      <c r="F4" s="192"/>
      <c r="G4" s="170"/>
      <c r="H4" s="170"/>
      <c r="J4" s="192"/>
      <c r="K4" s="170"/>
      <c r="L4" s="170"/>
      <c r="N4" s="192"/>
      <c r="O4" s="170"/>
      <c r="P4" s="170"/>
      <c r="R4" s="192"/>
      <c r="S4" s="170"/>
      <c r="T4" s="170"/>
    </row>
    <row r="5" customFormat="false" ht="15" hidden="false" customHeight="true" outlineLevel="0" collapsed="false">
      <c r="A5" s="12"/>
      <c r="B5" s="172" t="str">
        <f aca="false">'Datasize-Parameters'!$C$4</f>
        <v>Account</v>
      </c>
      <c r="C5" s="173" t="n">
        <f aca="false">'Customer Volumes'!D5*'Customer Volumes'!D14*0.3</f>
        <v>15471924.6</v>
      </c>
      <c r="D5" s="174" t="n">
        <f aca="false">C5*'Datasize-Parameters'!$D$24/(1024*1024)</f>
        <v>3777.32534179688</v>
      </c>
      <c r="F5" s="172" t="str">
        <f aca="false">'Datasize-Parameters'!$C$4</f>
        <v>Account</v>
      </c>
      <c r="G5" s="173" t="n">
        <f aca="false">'Customer Volumes'!E5*'Customer Volumes'!E14*0.3</f>
        <v>17019117.06</v>
      </c>
      <c r="H5" s="174" t="n">
        <f aca="false">G5*'Datasize-Parameters'!$D$24/(1024*1024)</f>
        <v>4155.05787597656</v>
      </c>
      <c r="J5" s="172" t="str">
        <f aca="false">'Datasize-Parameters'!$C$4</f>
        <v>Account</v>
      </c>
      <c r="K5" s="173" t="n">
        <f aca="false">'Customer Volumes'!F5*'Customer Volumes'!F14*0.3</f>
        <v>18721028.766</v>
      </c>
      <c r="L5" s="174" t="n">
        <f aca="false">K5*'Datasize-Parameters'!$D$24/(1024*1024)</f>
        <v>4570.56366357422</v>
      </c>
      <c r="N5" s="172" t="str">
        <f aca="false">'Datasize-Parameters'!$C$4</f>
        <v>Account</v>
      </c>
      <c r="O5" s="173" t="n">
        <f aca="false">'Customer Volumes'!G5*'Customer Volumes'!G14*0.3</f>
        <v>20593131.6426</v>
      </c>
      <c r="P5" s="174" t="n">
        <f aca="false">O5*'Datasize-Parameters'!$D$24/(1024*1024)</f>
        <v>5027.62002993164</v>
      </c>
      <c r="R5" s="172" t="str">
        <f aca="false">'Datasize-Parameters'!$C$4</f>
        <v>Account</v>
      </c>
      <c r="S5" s="173" t="n">
        <f aca="false">'Customer Volumes'!H5*'Customer Volumes'!H14*0.3</f>
        <v>22652444.80686</v>
      </c>
      <c r="T5" s="174" t="n">
        <f aca="false">S5*'Datasize-Parameters'!$D$24/(1024*1024)</f>
        <v>5530.38203292481</v>
      </c>
    </row>
    <row r="6" customFormat="false" ht="15" hidden="false" customHeight="true" outlineLevel="0" collapsed="false">
      <c r="A6" s="12"/>
      <c r="B6" s="172" t="str">
        <f aca="false">'Datasize-Parameters'!$C$5</f>
        <v>Lead</v>
      </c>
      <c r="C6" s="173" t="n">
        <f aca="false">'Customer Volumes'!D7*'Customer Volumes'!D15*0.3</f>
        <v>6420000</v>
      </c>
      <c r="D6" s="174" t="n">
        <f aca="false">C6*'Datasize-Parameters'!$D$24/(1024*1024)</f>
        <v>1567.3828125</v>
      </c>
      <c r="F6" s="172" t="str">
        <f aca="false">'Datasize-Parameters'!$C$5</f>
        <v>Lead</v>
      </c>
      <c r="G6" s="173" t="n">
        <f aca="false">'Customer Volumes'!E7*'Customer Volumes'!E15*0.3</f>
        <v>7062000</v>
      </c>
      <c r="H6" s="174" t="n">
        <f aca="false">G6*'Datasize-Parameters'!$D$24/(1024*1024)</f>
        <v>1724.12109375</v>
      </c>
      <c r="J6" s="172" t="str">
        <f aca="false">'Datasize-Parameters'!$C$5</f>
        <v>Lead</v>
      </c>
      <c r="K6" s="173" t="n">
        <f aca="false">'Customer Volumes'!F7*'Customer Volumes'!F15*0.3</f>
        <v>7768200</v>
      </c>
      <c r="L6" s="174" t="n">
        <f aca="false">K6*'Datasize-Parameters'!$D$24/(1024*1024)</f>
        <v>1896.533203125</v>
      </c>
      <c r="N6" s="172" t="str">
        <f aca="false">'Datasize-Parameters'!$C$5</f>
        <v>Lead</v>
      </c>
      <c r="O6" s="173" t="n">
        <f aca="false">'Customer Volumes'!G7*'Customer Volumes'!G15*0.3</f>
        <v>8545020</v>
      </c>
      <c r="P6" s="174" t="n">
        <f aca="false">O6*'Datasize-Parameters'!$D$24/(1024*1024)</f>
        <v>2086.1865234375</v>
      </c>
      <c r="R6" s="172" t="str">
        <f aca="false">'Datasize-Parameters'!$C$5</f>
        <v>Lead</v>
      </c>
      <c r="S6" s="173" t="n">
        <f aca="false">'Customer Volumes'!H7*'Customer Volumes'!H15*0.3</f>
        <v>9399522</v>
      </c>
      <c r="T6" s="174" t="n">
        <f aca="false">S6*'Datasize-Parameters'!$D$24/(1024*1024)</f>
        <v>2294.80517578125</v>
      </c>
    </row>
    <row r="7" customFormat="false" ht="15" hidden="false" customHeight="true" outlineLevel="0" collapsed="false">
      <c r="A7" s="12"/>
      <c r="B7" s="172" t="str">
        <f aca="false">'Datasize-Parameters'!$C$6</f>
        <v>Service Request (Case)</v>
      </c>
      <c r="C7" s="173" t="n">
        <f aca="false">'Customer Volumes'!D9*'Customer Volumes'!D16</f>
        <v>20000</v>
      </c>
      <c r="D7" s="174" t="n">
        <f aca="false">C7*'Datasize-Parameters'!$D$24/(1024*1024)</f>
        <v>4.8828125</v>
      </c>
      <c r="F7" s="172" t="str">
        <f aca="false">'Datasize-Parameters'!$C$6</f>
        <v>Service Request (Case)</v>
      </c>
      <c r="G7" s="173" t="n">
        <f aca="false">'Customer Volumes'!E9*'Customer Volumes'!E16</f>
        <v>21000</v>
      </c>
      <c r="H7" s="174" t="n">
        <f aca="false">G7*'Datasize-Parameters'!$D$24/(1024*1024)</f>
        <v>5.126953125</v>
      </c>
      <c r="J7" s="172" t="str">
        <f aca="false">'Datasize-Parameters'!$C$6</f>
        <v>Service Request (Case)</v>
      </c>
      <c r="K7" s="173" t="n">
        <f aca="false">'Customer Volumes'!F9*'Customer Volumes'!F16</f>
        <v>22050</v>
      </c>
      <c r="L7" s="174" t="n">
        <f aca="false">K7*'Datasize-Parameters'!$D$24/(1024*1024)</f>
        <v>5.38330078125</v>
      </c>
      <c r="N7" s="172" t="str">
        <f aca="false">'Datasize-Parameters'!$C$6</f>
        <v>Service Request (Case)</v>
      </c>
      <c r="O7" s="173" t="n">
        <f aca="false">'Customer Volumes'!G9*'Customer Volumes'!G16</f>
        <v>23152.5</v>
      </c>
      <c r="P7" s="174" t="n">
        <f aca="false">O7*'Datasize-Parameters'!$D$24/(1024*1024)</f>
        <v>5.6524658203125</v>
      </c>
      <c r="R7" s="172" t="str">
        <f aca="false">'Datasize-Parameters'!$C$6</f>
        <v>Service Request (Case)</v>
      </c>
      <c r="S7" s="173" t="n">
        <f aca="false">'Customer Volumes'!H9*'Customer Volumes'!H16</f>
        <v>24310.125</v>
      </c>
      <c r="T7" s="174" t="n">
        <f aca="false">S7*'Datasize-Parameters'!$D$24/(1024*1024)</f>
        <v>5.93508911132813</v>
      </c>
    </row>
    <row r="8" customFormat="false" ht="15" hidden="false" customHeight="true" outlineLevel="0" collapsed="false">
      <c r="A8" s="12"/>
      <c r="B8" s="172" t="str">
        <f aca="false">'Datasize-Parameters'!$C$7</f>
        <v>Campaign</v>
      </c>
      <c r="C8" s="173" t="n">
        <v>0</v>
      </c>
      <c r="D8" s="174" t="n">
        <f aca="false">C8*'Datasize-Parameters'!$D$24/(1024*1024)</f>
        <v>0</v>
      </c>
      <c r="F8" s="172" t="str">
        <f aca="false">'Datasize-Parameters'!$C$7</f>
        <v>Campaign</v>
      </c>
      <c r="G8" s="173" t="n">
        <v>0</v>
      </c>
      <c r="H8" s="174" t="n">
        <f aca="false">G8*'Datasize-Parameters'!$D$24/(1024*1024)</f>
        <v>0</v>
      </c>
      <c r="J8" s="172" t="str">
        <f aca="false">'Datasize-Parameters'!$C$7</f>
        <v>Campaign</v>
      </c>
      <c r="K8" s="173" t="n">
        <v>0</v>
      </c>
      <c r="L8" s="174" t="n">
        <f aca="false">K8*'Datasize-Parameters'!$D$24/(1024*1024)</f>
        <v>0</v>
      </c>
      <c r="N8" s="172" t="str">
        <f aca="false">'Datasize-Parameters'!$C$7</f>
        <v>Campaign</v>
      </c>
      <c r="O8" s="173" t="n">
        <v>0</v>
      </c>
      <c r="P8" s="174" t="n">
        <f aca="false">O8*'Datasize-Parameters'!$D$24/(1024*1024)</f>
        <v>0</v>
      </c>
      <c r="R8" s="172" t="str">
        <f aca="false">'Datasize-Parameters'!$C$7</f>
        <v>Campaign</v>
      </c>
      <c r="S8" s="173" t="n">
        <v>0</v>
      </c>
      <c r="T8" s="174" t="n">
        <f aca="false">S8*'Datasize-Parameters'!$D$24/(1024*1024)</f>
        <v>0</v>
      </c>
    </row>
    <row r="9" customFormat="false" ht="15" hidden="false" customHeight="true" outlineLevel="0" collapsed="false">
      <c r="A9" s="12"/>
      <c r="B9" s="172" t="str">
        <f aca="false">'Datasize-Parameters'!$C$8</f>
        <v>Offer</v>
      </c>
      <c r="C9" s="173" t="n">
        <v>0</v>
      </c>
      <c r="D9" s="174" t="n">
        <f aca="false">C9*'Datasize-Parameters'!$D$24/(1024*1024)</f>
        <v>0</v>
      </c>
      <c r="F9" s="172" t="str">
        <f aca="false">'Datasize-Parameters'!$C$8</f>
        <v>Offer</v>
      </c>
      <c r="G9" s="173" t="n">
        <v>0</v>
      </c>
      <c r="H9" s="174" t="n">
        <f aca="false">G9*'Datasize-Parameters'!$D$24/(1024*1024)</f>
        <v>0</v>
      </c>
      <c r="J9" s="172" t="str">
        <f aca="false">'Datasize-Parameters'!$C$8</f>
        <v>Offer</v>
      </c>
      <c r="K9" s="173" t="n">
        <v>0</v>
      </c>
      <c r="L9" s="174" t="n">
        <f aca="false">K9*'Datasize-Parameters'!$D$24/(1024*1024)</f>
        <v>0</v>
      </c>
      <c r="N9" s="172" t="str">
        <f aca="false">'Datasize-Parameters'!$C$8</f>
        <v>Offer</v>
      </c>
      <c r="O9" s="173" t="n">
        <v>0</v>
      </c>
      <c r="P9" s="174" t="n">
        <f aca="false">O9*'Datasize-Parameters'!$D$24/(1024*1024)</f>
        <v>0</v>
      </c>
      <c r="R9" s="172" t="str">
        <f aca="false">'Datasize-Parameters'!$C$8</f>
        <v>Offer</v>
      </c>
      <c r="S9" s="173" t="n">
        <v>0</v>
      </c>
      <c r="T9" s="174" t="n">
        <f aca="false">S9*'Datasize-Parameters'!$D$24/(1024*1024)</f>
        <v>0</v>
      </c>
    </row>
    <row r="10" customFormat="false" ht="15" hidden="false" customHeight="true" outlineLevel="0" collapsed="false">
      <c r="A10" s="12"/>
      <c r="B10" s="172" t="str">
        <f aca="false">'Datasize-Parameters'!$C$9</f>
        <v>Credit</v>
      </c>
      <c r="C10" s="173" t="n">
        <v>0</v>
      </c>
      <c r="D10" s="174" t="n">
        <f aca="false">C10*'Datasize-Parameters'!$D$24/(1024*1024)</f>
        <v>0</v>
      </c>
      <c r="F10" s="172" t="str">
        <f aca="false">'Datasize-Parameters'!$C$9</f>
        <v>Credit</v>
      </c>
      <c r="G10" s="173" t="n">
        <v>0</v>
      </c>
      <c r="H10" s="174" t="n">
        <f aca="false">G10*'Datasize-Parameters'!$D$24/(1024*1024)</f>
        <v>0</v>
      </c>
      <c r="J10" s="172" t="str">
        <f aca="false">'Datasize-Parameters'!$C$9</f>
        <v>Credit</v>
      </c>
      <c r="K10" s="173" t="n">
        <v>0</v>
      </c>
      <c r="L10" s="174" t="n">
        <f aca="false">K10*'Datasize-Parameters'!$D$24/(1024*1024)</f>
        <v>0</v>
      </c>
      <c r="N10" s="172" t="str">
        <f aca="false">'Datasize-Parameters'!$C$9</f>
        <v>Credit</v>
      </c>
      <c r="O10" s="173" t="n">
        <v>0</v>
      </c>
      <c r="P10" s="174" t="n">
        <f aca="false">O10*'Datasize-Parameters'!$D$24/(1024*1024)</f>
        <v>0</v>
      </c>
      <c r="R10" s="172" t="str">
        <f aca="false">'Datasize-Parameters'!$C$9</f>
        <v>Credit</v>
      </c>
      <c r="S10" s="173" t="n">
        <v>0</v>
      </c>
      <c r="T10" s="174" t="n">
        <f aca="false">S10*'Datasize-Parameters'!$D$24/(1024*1024)</f>
        <v>0</v>
      </c>
    </row>
    <row r="11" customFormat="false" ht="15" hidden="false" customHeight="true" outlineLevel="0" collapsed="false">
      <c r="A11" s="12"/>
      <c r="B11" s="172" t="str">
        <f aca="false">'Datasize-Parameters'!$C$13</f>
        <v>Facility</v>
      </c>
      <c r="C11" s="173" t="n">
        <v>0</v>
      </c>
      <c r="D11" s="174" t="n">
        <f aca="false">C11*'Datasize-Parameters'!$D$24/(1024*1024)</f>
        <v>0</v>
      </c>
      <c r="F11" s="172" t="str">
        <f aca="false">'Datasize-Parameters'!$C$13</f>
        <v>Facility</v>
      </c>
      <c r="G11" s="173" t="n">
        <v>0</v>
      </c>
      <c r="H11" s="174" t="n">
        <f aca="false">G11*'Datasize-Parameters'!$D$24/(1024*1024)</f>
        <v>0</v>
      </c>
      <c r="J11" s="172" t="str">
        <f aca="false">'Datasize-Parameters'!$C$13</f>
        <v>Facility</v>
      </c>
      <c r="K11" s="173" t="n">
        <v>0</v>
      </c>
      <c r="L11" s="174" t="n">
        <f aca="false">K11*'Datasize-Parameters'!$D$24/(1024*1024)</f>
        <v>0</v>
      </c>
      <c r="N11" s="172" t="str">
        <f aca="false">'Datasize-Parameters'!$C$13</f>
        <v>Facility</v>
      </c>
      <c r="O11" s="173" t="n">
        <v>0</v>
      </c>
      <c r="P11" s="174" t="n">
        <f aca="false">O11*'Datasize-Parameters'!$D$24/(1024*1024)</f>
        <v>0</v>
      </c>
      <c r="R11" s="172" t="str">
        <f aca="false">'Datasize-Parameters'!$C$13</f>
        <v>Facility</v>
      </c>
      <c r="S11" s="173" t="n">
        <v>0</v>
      </c>
      <c r="T11" s="174" t="n">
        <f aca="false">S11*'Datasize-Parameters'!$D$24/(1024*1024)</f>
        <v>0</v>
      </c>
    </row>
    <row r="12" customFormat="false" ht="15" hidden="false" customHeight="true" outlineLevel="0" collapsed="false">
      <c r="A12" s="12"/>
      <c r="B12" s="172"/>
      <c r="C12" s="173"/>
      <c r="D12" s="174"/>
      <c r="F12" s="172"/>
      <c r="G12" s="173"/>
      <c r="H12" s="174"/>
      <c r="J12" s="172"/>
      <c r="K12" s="173"/>
      <c r="L12" s="174"/>
      <c r="N12" s="172"/>
      <c r="O12" s="173"/>
      <c r="P12" s="174"/>
      <c r="R12" s="172"/>
      <c r="S12" s="173"/>
      <c r="T12" s="174"/>
    </row>
    <row r="13" customFormat="false" ht="15" hidden="false" customHeight="true" outlineLevel="0" collapsed="false">
      <c r="B13" s="178" t="s">
        <v>289</v>
      </c>
      <c r="C13" s="178"/>
      <c r="D13" s="177" t="n">
        <f aca="false">SUM(D5:D11)</f>
        <v>5349.59096679688</v>
      </c>
      <c r="F13" s="178" t="s">
        <v>289</v>
      </c>
      <c r="G13" s="178"/>
      <c r="H13" s="177" t="n">
        <f aca="false">SUM(H5:H11)</f>
        <v>5884.30592285156</v>
      </c>
      <c r="J13" s="178" t="s">
        <v>289</v>
      </c>
      <c r="K13" s="178"/>
      <c r="L13" s="177" t="n">
        <f aca="false">SUM(L5:L11)</f>
        <v>6472.48016748047</v>
      </c>
      <c r="N13" s="178" t="s">
        <v>289</v>
      </c>
      <c r="O13" s="178"/>
      <c r="P13" s="177" t="n">
        <f aca="false">SUM(P5:P11)</f>
        <v>7119.45901918946</v>
      </c>
      <c r="R13" s="178" t="s">
        <v>289</v>
      </c>
      <c r="S13" s="178"/>
      <c r="T13" s="177" t="n">
        <f aca="false">SUM(T5:T11)</f>
        <v>7831.12229781739</v>
      </c>
    </row>
    <row r="14" customFormat="false" ht="23.25" hidden="false" customHeight="true" outlineLevel="0" collapsed="false">
      <c r="B14" s="180"/>
      <c r="C14" s="181"/>
      <c r="D14" s="180" t="s">
        <v>273</v>
      </c>
      <c r="F14" s="180"/>
      <c r="G14" s="181"/>
      <c r="H14" s="180" t="s">
        <v>273</v>
      </c>
      <c r="J14" s="180"/>
      <c r="K14" s="181"/>
      <c r="L14" s="180" t="s">
        <v>273</v>
      </c>
      <c r="N14" s="180"/>
      <c r="O14" s="181"/>
      <c r="P14" s="180" t="s">
        <v>273</v>
      </c>
      <c r="R14" s="180"/>
      <c r="S14" s="181"/>
      <c r="T14" s="180" t="s">
        <v>273</v>
      </c>
    </row>
    <row r="15" customFormat="false" ht="15" hidden="false" customHeight="true" outlineLevel="0" collapsed="false">
      <c r="A15" s="12"/>
      <c r="B15" s="193"/>
      <c r="C15" s="193"/>
      <c r="D15" s="194"/>
      <c r="F15" s="193"/>
      <c r="G15" s="193"/>
      <c r="H15" s="194"/>
      <c r="J15" s="193"/>
      <c r="K15" s="193"/>
      <c r="L15" s="194"/>
      <c r="N15" s="193"/>
      <c r="O15" s="193"/>
      <c r="P15" s="194"/>
      <c r="R15" s="193"/>
      <c r="S15" s="193"/>
      <c r="T15" s="194"/>
    </row>
    <row r="16" customFormat="false" ht="19.5" hidden="false" customHeight="true" outlineLevel="0" collapsed="false">
      <c r="A16" s="12"/>
      <c r="B16" s="195" t="s">
        <v>290</v>
      </c>
      <c r="C16" s="196"/>
      <c r="D16" s="196"/>
      <c r="F16" s="195" t="s">
        <v>290</v>
      </c>
      <c r="G16" s="196"/>
      <c r="H16" s="196"/>
      <c r="J16" s="195" t="s">
        <v>290</v>
      </c>
      <c r="K16" s="196"/>
      <c r="L16" s="196"/>
      <c r="N16" s="195" t="s">
        <v>290</v>
      </c>
      <c r="O16" s="196"/>
      <c r="P16" s="196"/>
      <c r="R16" s="195" t="s">
        <v>290</v>
      </c>
      <c r="S16" s="196"/>
      <c r="T16" s="196"/>
    </row>
    <row r="17" customFormat="false" ht="19.5" hidden="false" customHeight="true" outlineLevel="0" collapsed="false">
      <c r="A17" s="12"/>
      <c r="B17" s="182"/>
      <c r="C17" s="185"/>
      <c r="D17" s="182"/>
      <c r="F17" s="182"/>
      <c r="G17" s="185"/>
      <c r="H17" s="182"/>
      <c r="J17" s="182"/>
      <c r="K17" s="185"/>
      <c r="L17" s="182"/>
      <c r="N17" s="182"/>
      <c r="O17" s="185"/>
      <c r="P17" s="182"/>
      <c r="Q17" s="179"/>
      <c r="R17" s="182"/>
      <c r="S17" s="185"/>
      <c r="T17" s="182"/>
    </row>
    <row r="18" customFormat="false" ht="15" hidden="false" customHeight="true" outlineLevel="0" collapsed="false">
      <c r="A18" s="12"/>
      <c r="B18" s="182" t="s">
        <v>272</v>
      </c>
      <c r="C18" s="185"/>
      <c r="D18" s="186" t="n">
        <f aca="false">D13</f>
        <v>5349.59096679688</v>
      </c>
      <c r="F18" s="182" t="s">
        <v>272</v>
      </c>
      <c r="G18" s="185"/>
      <c r="H18" s="186" t="n">
        <f aca="false">H13</f>
        <v>5884.30592285156</v>
      </c>
      <c r="J18" s="182" t="s">
        <v>272</v>
      </c>
      <c r="K18" s="185"/>
      <c r="L18" s="186" t="n">
        <f aca="false">L13</f>
        <v>6472.48016748047</v>
      </c>
      <c r="N18" s="182" t="s">
        <v>272</v>
      </c>
      <c r="O18" s="185"/>
      <c r="P18" s="186" t="n">
        <f aca="false">P13</f>
        <v>7119.45901918946</v>
      </c>
      <c r="R18" s="182" t="s">
        <v>272</v>
      </c>
      <c r="S18" s="185"/>
      <c r="T18" s="186" t="n">
        <f aca="false">T13</f>
        <v>7831.12229781739</v>
      </c>
    </row>
    <row r="19" customFormat="false" ht="19.5" hidden="false" customHeight="true" outlineLevel="0" collapsed="false">
      <c r="A19" s="12"/>
      <c r="B19" s="182" t="s">
        <v>291</v>
      </c>
      <c r="C19" s="185"/>
      <c r="D19" s="186" t="n">
        <f aca="false">D18*10%</f>
        <v>534.959096679688</v>
      </c>
      <c r="E19" s="179"/>
      <c r="F19" s="182" t="s">
        <v>291</v>
      </c>
      <c r="G19" s="185"/>
      <c r="H19" s="186" t="n">
        <f aca="false">H18*10%</f>
        <v>588.430592285156</v>
      </c>
      <c r="I19" s="179"/>
      <c r="J19" s="182" t="s">
        <v>291</v>
      </c>
      <c r="K19" s="185"/>
      <c r="L19" s="186" t="n">
        <f aca="false">L18*10%</f>
        <v>647.248016748047</v>
      </c>
      <c r="M19" s="179"/>
      <c r="N19" s="182" t="s">
        <v>291</v>
      </c>
      <c r="O19" s="185"/>
      <c r="P19" s="186" t="n">
        <f aca="false">P18*10%</f>
        <v>711.945901918946</v>
      </c>
      <c r="R19" s="182" t="s">
        <v>291</v>
      </c>
      <c r="S19" s="185"/>
      <c r="T19" s="186" t="n">
        <f aca="false">T18*10%</f>
        <v>783.112229781739</v>
      </c>
    </row>
    <row r="20" customFormat="false" ht="15" hidden="false" customHeight="true" outlineLevel="0" collapsed="false">
      <c r="A20" s="12"/>
      <c r="B20" s="182"/>
      <c r="C20" s="185"/>
      <c r="D20" s="186"/>
      <c r="F20" s="182"/>
      <c r="G20" s="185"/>
      <c r="H20" s="186"/>
      <c r="J20" s="182"/>
      <c r="K20" s="185"/>
      <c r="L20" s="186"/>
      <c r="N20" s="182"/>
      <c r="O20" s="185"/>
      <c r="P20" s="186"/>
      <c r="R20" s="182"/>
      <c r="S20" s="185"/>
      <c r="T20" s="186"/>
    </row>
    <row r="21" customFormat="false" ht="20.25" hidden="false" customHeight="true" outlineLevel="0" collapsed="false">
      <c r="A21" s="12"/>
      <c r="B21" s="187" t="s">
        <v>278</v>
      </c>
      <c r="C21" s="185"/>
      <c r="D21" s="197" t="n">
        <f aca="false">SUM(D18:D19)</f>
        <v>5884.55006347656</v>
      </c>
      <c r="F21" s="187" t="s">
        <v>292</v>
      </c>
      <c r="G21" s="185"/>
      <c r="H21" s="197" t="n">
        <f aca="false">SUM(H18:H19)</f>
        <v>6472.73651513672</v>
      </c>
      <c r="J21" s="187" t="s">
        <v>280</v>
      </c>
      <c r="K21" s="185"/>
      <c r="L21" s="197" t="n">
        <f aca="false">SUM(L18:L19)</f>
        <v>7119.72818422852</v>
      </c>
      <c r="N21" s="187" t="s">
        <v>281</v>
      </c>
      <c r="O21" s="185"/>
      <c r="P21" s="197" t="n">
        <f aca="false">SUM(P18:P19)</f>
        <v>7831.4049211084</v>
      </c>
      <c r="R21" s="187" t="s">
        <v>282</v>
      </c>
      <c r="S21" s="185"/>
      <c r="T21" s="197" t="n">
        <f aca="false">SUM(T18:T19)</f>
        <v>8614.23452759913</v>
      </c>
    </row>
    <row r="22" customFormat="false" ht="15" hidden="false" customHeight="true" outlineLevel="0" collapsed="false">
      <c r="A22" s="12"/>
      <c r="B22" s="175"/>
      <c r="C22" s="185"/>
      <c r="D22" s="189" t="s">
        <v>284</v>
      </c>
      <c r="F22" s="175"/>
      <c r="G22" s="185"/>
      <c r="H22" s="189" t="s">
        <v>284</v>
      </c>
      <c r="J22" s="175"/>
      <c r="K22" s="185"/>
      <c r="L22" s="189" t="s">
        <v>284</v>
      </c>
      <c r="N22" s="175"/>
      <c r="O22" s="185"/>
      <c r="P22" s="189" t="s">
        <v>284</v>
      </c>
      <c r="R22" s="175"/>
      <c r="S22" s="185"/>
      <c r="T22" s="189" t="s">
        <v>284</v>
      </c>
    </row>
    <row r="23" customFormat="false" ht="15" hidden="false" customHeight="true" outlineLevel="0" collapsed="false">
      <c r="A23" s="12"/>
    </row>
    <row r="24" customFormat="false" ht="15" hidden="false" customHeight="true" outlineLevel="0" collapsed="false">
      <c r="A24" s="12"/>
    </row>
    <row r="25" customFormat="false" ht="15" hidden="false" customHeight="true" outlineLevel="0" collapsed="false">
      <c r="A25" s="12"/>
    </row>
    <row r="26" customFormat="false" ht="15" hidden="false" customHeight="true" outlineLevel="0" collapsed="false">
      <c r="A26" s="12"/>
    </row>
    <row r="27" customFormat="false" ht="15" hidden="false" customHeight="true" outlineLevel="0" collapsed="false">
      <c r="A27" s="12"/>
    </row>
    <row r="28" customFormat="false" ht="15" hidden="false" customHeight="true" outlineLevel="0" collapsed="false">
      <c r="A28" s="12"/>
    </row>
    <row r="29" customFormat="false" ht="15" hidden="false" customHeight="true" outlineLevel="0" collapsed="false">
      <c r="A29" s="12"/>
    </row>
    <row r="30" customFormat="false" ht="15" hidden="false" customHeight="true" outlineLevel="0" collapsed="false">
      <c r="A30" s="12"/>
    </row>
    <row r="31" customFormat="false" ht="15" hidden="false" customHeight="true" outlineLevel="0" collapsed="false">
      <c r="A31" s="12"/>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sheetData>
  <sheetProtection algorithmName="SHA-512" hashValue="/G8AD2XoJ+DkAPJIGpWJQ+VevwxxBu00LaVbH0KRT9WrlOX4Tr590zp0G8mHbpBbGZFWpSNubndJuwkmD30gGQ==" saltValue="kSC7bYfg9RJSvG3J5E9g0g==" spinCount="100000" sheet="true" objects="true" scenarios="true"/>
  <mergeCells count="5">
    <mergeCell ref="B13:C13"/>
    <mergeCell ref="F13:G13"/>
    <mergeCell ref="J13:K13"/>
    <mergeCell ref="N13:O13"/>
    <mergeCell ref="R13:S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9.1484375" defaultRowHeight="15" zeroHeight="false" outlineLevelRow="0" outlineLevelCol="0"/>
  <cols>
    <col collapsed="false" customWidth="true" hidden="false" outlineLevel="0" max="1" min="1" style="44" width="4.14"/>
    <col collapsed="false" customWidth="true" hidden="false" outlineLevel="0" max="2" min="2" style="44" width="10.71"/>
    <col collapsed="false" customWidth="true" hidden="false" outlineLevel="0" max="3" min="3" style="44" width="10.85"/>
    <col collapsed="false" customWidth="true" hidden="false" outlineLevel="0" max="5" min="4" style="44" width="23.71"/>
    <col collapsed="false" customWidth="true" hidden="false" outlineLevel="0" max="6" min="6" style="44" width="17"/>
    <col collapsed="false" customWidth="true" hidden="false" outlineLevel="0" max="7" min="7" style="44" width="23.71"/>
    <col collapsed="false" customWidth="true" hidden="false" outlineLevel="0" max="8" min="8" style="44" width="14.86"/>
    <col collapsed="false" customWidth="true" hidden="false" outlineLevel="0" max="9" min="9" style="44" width="12.57"/>
    <col collapsed="false" customWidth="true" hidden="false" outlineLevel="0" max="10" min="10" style="44" width="16.84"/>
    <col collapsed="false" customWidth="true" hidden="false" outlineLevel="0" max="12" min="11" style="44" width="9.71"/>
    <col collapsed="false" customWidth="true" hidden="false" outlineLevel="0" max="13" min="13" style="44" width="38.57"/>
    <col collapsed="false" customWidth="true" hidden="false" outlineLevel="0" max="14" min="14" style="198" width="24"/>
    <col collapsed="false" customWidth="true" hidden="false" outlineLevel="0" max="15" min="15" style="44" width="23.71"/>
    <col collapsed="false" customWidth="true" hidden="false" outlineLevel="0" max="16" min="16" style="44" width="13.86"/>
    <col collapsed="false" customWidth="true" hidden="false" outlineLevel="0" max="17" min="17" style="44" width="28.14"/>
    <col collapsed="false" customWidth="false" hidden="false" outlineLevel="0" max="16384" min="18" style="44" width="9.14"/>
  </cols>
  <sheetData>
    <row r="2" customFormat="false" ht="15" hidden="false" customHeight="true" outlineLevel="0" collapsed="false">
      <c r="B2" s="199" t="s">
        <v>293</v>
      </c>
      <c r="C2" s="199"/>
    </row>
    <row r="3" s="200" customFormat="true" ht="41.25" hidden="false" customHeight="true" outlineLevel="0" collapsed="false">
      <c r="B3" s="201" t="s">
        <v>294</v>
      </c>
      <c r="C3" s="201" t="s">
        <v>295</v>
      </c>
      <c r="D3" s="201" t="s">
        <v>296</v>
      </c>
      <c r="E3" s="202" t="s">
        <v>297</v>
      </c>
      <c r="F3" s="201" t="s">
        <v>298</v>
      </c>
      <c r="G3" s="201" t="s">
        <v>299</v>
      </c>
      <c r="H3" s="201" t="s">
        <v>300</v>
      </c>
      <c r="I3" s="201" t="s">
        <v>301</v>
      </c>
      <c r="J3" s="201" t="s">
        <v>302</v>
      </c>
    </row>
    <row r="4" customFormat="false" ht="15" hidden="false" customHeight="true" outlineLevel="0" collapsed="false">
      <c r="B4" s="203" t="s">
        <v>303</v>
      </c>
      <c r="C4" s="203" t="s">
        <v>304</v>
      </c>
      <c r="D4" s="204" t="n">
        <v>2</v>
      </c>
      <c r="E4" s="203" t="n">
        <v>5</v>
      </c>
      <c r="F4" s="203" t="s">
        <v>305</v>
      </c>
      <c r="G4" s="203" t="s">
        <v>306</v>
      </c>
      <c r="H4" s="203" t="s">
        <v>307</v>
      </c>
      <c r="I4" s="203" t="s">
        <v>141</v>
      </c>
      <c r="J4" s="203" t="s">
        <v>141</v>
      </c>
    </row>
    <row r="6" customFormat="false" ht="15" hidden="false" customHeight="true" outlineLevel="0" collapsed="false">
      <c r="B6" s="205" t="s">
        <v>308</v>
      </c>
      <c r="C6" s="205"/>
      <c r="D6" s="206" t="s">
        <v>309</v>
      </c>
      <c r="E6" s="206"/>
      <c r="F6" s="206"/>
    </row>
    <row r="7" s="207" customFormat="true" ht="60" hidden="false" customHeight="true" outlineLevel="0" collapsed="false">
      <c r="B7" s="208" t="s">
        <v>297</v>
      </c>
      <c r="C7" s="209" t="s">
        <v>310</v>
      </c>
      <c r="D7" s="209" t="s">
        <v>311</v>
      </c>
      <c r="E7" s="208" t="s">
        <v>312</v>
      </c>
      <c r="F7" s="209" t="s">
        <v>313</v>
      </c>
      <c r="H7" s="210" t="s">
        <v>314</v>
      </c>
      <c r="I7" s="211" t="s">
        <v>315</v>
      </c>
      <c r="M7" s="212" t="s">
        <v>169</v>
      </c>
      <c r="N7" s="212" t="s">
        <v>316</v>
      </c>
    </row>
    <row r="8" customFormat="false" ht="15" hidden="false" customHeight="true" outlineLevel="0" collapsed="false">
      <c r="B8" s="213" t="n">
        <v>1</v>
      </c>
      <c r="C8" s="214" t="e">
        <f aca="false">'server size'!#ref!</f>
        <v>#VALUE!</v>
      </c>
      <c r="D8" s="214" t="n">
        <f aca="false">2*ROUND('Server size'!C22,1)</f>
        <v>112</v>
      </c>
      <c r="E8" s="214" t="n">
        <f aca="false">ROUNDUP('Data size'!D30/50,0)*50</f>
        <v>2050</v>
      </c>
      <c r="F8" s="214" t="n">
        <f aca="false">ROUNDUP('DMS size'!D21/100,0)*100</f>
        <v>5900</v>
      </c>
      <c r="H8" s="215" t="n">
        <v>2</v>
      </c>
      <c r="I8" s="215" t="n">
        <v>8</v>
      </c>
      <c r="M8" s="216" t="s">
        <v>317</v>
      </c>
      <c r="N8" s="217" t="str">
        <f aca="false">VLOOKUP(B4,B43:C45,2,FALSE())</f>
        <v>GKE</v>
      </c>
    </row>
    <row r="9" customFormat="false" ht="15" hidden="false" customHeight="true" outlineLevel="0" collapsed="false">
      <c r="B9" s="213" t="n">
        <v>2</v>
      </c>
      <c r="C9" s="214" t="e">
        <f aca="false">'server size'!#ref!</f>
        <v>#VALUE!</v>
      </c>
      <c r="D9" s="214" t="n">
        <f aca="false">2*ROUND('Server size'!D22,1)</f>
        <v>116</v>
      </c>
      <c r="E9" s="214" t="n">
        <f aca="false">ROUNDUP('Data size'!H30/50,0)*50</f>
        <v>2250</v>
      </c>
      <c r="F9" s="214" t="n">
        <f aca="false">ROUNDUP('DMS size'!H21/100,0)*100</f>
        <v>6500</v>
      </c>
      <c r="H9" s="215" t="n">
        <v>4</v>
      </c>
      <c r="I9" s="215" t="n">
        <v>8</v>
      </c>
      <c r="M9" s="215" t="s">
        <v>310</v>
      </c>
      <c r="N9" s="217" t="e">
        <f aca="false">VLOOKUP(E4,B8:F12,2,FALSE())</f>
        <v>#VALUE!</v>
      </c>
    </row>
    <row r="10" customFormat="false" ht="15" hidden="false" customHeight="true" outlineLevel="0" collapsed="false">
      <c r="B10" s="213" t="n">
        <v>3</v>
      </c>
      <c r="C10" s="214" t="e">
        <f aca="false">'server size'!#ref!</f>
        <v>#VALUE!</v>
      </c>
      <c r="D10" s="214" t="n">
        <f aca="false">2*'Server size'!E22</f>
        <v>120</v>
      </c>
      <c r="E10" s="214" t="n">
        <f aca="false">ROUNDUP('Data size'!L30/50,0)*50</f>
        <v>2500</v>
      </c>
      <c r="F10" s="214" t="n">
        <f aca="false">ROUNDUP('DMS size'!L21/100,0)*100</f>
        <v>7200</v>
      </c>
      <c r="H10" s="215" t="n">
        <v>6</v>
      </c>
      <c r="I10" s="215" t="n">
        <v>8</v>
      </c>
      <c r="M10" s="218" t="s">
        <v>311</v>
      </c>
      <c r="N10" s="217" t="n">
        <f aca="false">VLOOKUP(E4,B8:F12,3,FALSE())</f>
        <v>132</v>
      </c>
    </row>
    <row r="11" customFormat="false" ht="15" hidden="false" customHeight="true" outlineLevel="0" collapsed="false">
      <c r="B11" s="213" t="n">
        <v>4</v>
      </c>
      <c r="C11" s="214" t="e">
        <f aca="false">'server size'!#ref!</f>
        <v>#VALUE!</v>
      </c>
      <c r="D11" s="214" t="n">
        <f aca="false">2*ROUND('Server size'!F22,1)</f>
        <v>124</v>
      </c>
      <c r="E11" s="214" t="n">
        <f aca="false">ROUNDUP('Data size'!P30/50,0)*50</f>
        <v>2750</v>
      </c>
      <c r="F11" s="214" t="n">
        <f aca="false">ROUNDUP('DMS size'!P21/100,0)*100</f>
        <v>7900</v>
      </c>
      <c r="G11" s="219"/>
      <c r="H11" s="215" t="n">
        <v>8</v>
      </c>
      <c r="I11" s="215" t="n">
        <v>8</v>
      </c>
      <c r="J11" s="220"/>
      <c r="M11" s="218" t="s">
        <v>318</v>
      </c>
      <c r="N11" s="217" t="e">
        <f aca="false">VLOOKUP(N10,H8:I39,2,FALSE())</f>
        <v>#N/A</v>
      </c>
    </row>
    <row r="12" customFormat="false" ht="15" hidden="false" customHeight="true" outlineLevel="0" collapsed="false">
      <c r="B12" s="213" t="n">
        <v>5</v>
      </c>
      <c r="C12" s="214" t="e">
        <f aca="false">'server size'!#ref!</f>
        <v>#VALUE!</v>
      </c>
      <c r="D12" s="214" t="n">
        <f aca="false">2*ROUND('Server size'!G22,1)</f>
        <v>132</v>
      </c>
      <c r="E12" s="214" t="n">
        <f aca="false">ROUNDUP('Data size'!T30/50,0)*50</f>
        <v>3000</v>
      </c>
      <c r="F12" s="214" t="n">
        <f aca="false">ROUNDUP('DMS size'!T21/100,0)*100</f>
        <v>8700</v>
      </c>
      <c r="G12" s="219"/>
      <c r="H12" s="215" t="n">
        <v>10</v>
      </c>
      <c r="I12" s="215" t="n">
        <v>8</v>
      </c>
      <c r="J12" s="220"/>
      <c r="M12" s="221" t="s">
        <v>312</v>
      </c>
      <c r="N12" s="217" t="n">
        <f aca="false">VLOOKUP(E4,B8:F12,4,FALSE())</f>
        <v>3000</v>
      </c>
    </row>
    <row r="13" customFormat="false" ht="15" hidden="false" customHeight="true" outlineLevel="0" collapsed="false">
      <c r="H13" s="215" t="n">
        <v>12</v>
      </c>
      <c r="I13" s="215" t="n">
        <v>16</v>
      </c>
      <c r="M13" s="218" t="s">
        <v>313</v>
      </c>
      <c r="N13" s="217" t="n">
        <f aca="false">VLOOKUP(E4,B8:F12,5,FALSE())</f>
        <v>8700</v>
      </c>
    </row>
    <row r="14" customFormat="false" ht="15" hidden="false" customHeight="true" outlineLevel="0" collapsed="false">
      <c r="B14" s="222" t="s">
        <v>308</v>
      </c>
      <c r="C14" s="222"/>
      <c r="D14" s="223" t="s">
        <v>309</v>
      </c>
      <c r="E14" s="223"/>
      <c r="F14" s="223"/>
      <c r="H14" s="215" t="n">
        <v>14</v>
      </c>
      <c r="I14" s="215" t="n">
        <v>16</v>
      </c>
      <c r="M14" s="215" t="s">
        <v>319</v>
      </c>
      <c r="N14" s="217" t="str">
        <f aca="false">VLOOKUP(F4&amp;" "&amp;G4,B16:E19,4,FALSE())</f>
        <v>Cloud Managed Database</v>
      </c>
    </row>
    <row r="15" customFormat="false" ht="27.75" hidden="false" customHeight="true" outlineLevel="0" collapsed="false">
      <c r="B15" s="224" t="s">
        <v>320</v>
      </c>
      <c r="C15" s="224" t="s">
        <v>298</v>
      </c>
      <c r="D15" s="224" t="s">
        <v>299</v>
      </c>
      <c r="E15" s="224" t="s">
        <v>321</v>
      </c>
      <c r="F15" s="224" t="s">
        <v>322</v>
      </c>
      <c r="H15" s="215" t="n">
        <v>16</v>
      </c>
      <c r="I15" s="215" t="n">
        <v>16</v>
      </c>
      <c r="M15" s="215" t="s">
        <v>322</v>
      </c>
      <c r="N15" s="217" t="str">
        <f aca="false">VLOOKUP(F4,C16:F17,4,FALSE())</f>
        <v>Oracle License</v>
      </c>
    </row>
    <row r="16" customFormat="false" ht="54.75" hidden="false" customHeight="true" outlineLevel="0" collapsed="false">
      <c r="B16" s="225" t="str">
        <f aca="false">C16&amp;" "&amp;D16</f>
        <v>MS SQL Database DB on Nodes</v>
      </c>
      <c r="C16" s="225" t="s">
        <v>323</v>
      </c>
      <c r="D16" s="225" t="s">
        <v>324</v>
      </c>
      <c r="E16" s="225" t="s">
        <v>325</v>
      </c>
      <c r="F16" s="225" t="s">
        <v>326</v>
      </c>
      <c r="H16" s="215" t="n">
        <v>18</v>
      </c>
      <c r="I16" s="215" t="n">
        <v>16</v>
      </c>
      <c r="M16" s="215" t="s">
        <v>327</v>
      </c>
      <c r="N16" s="217" t="str">
        <f aca="false">VLOOKUP(B4&amp;" "&amp;F4&amp;" "&amp;G4,B23:F34,5,FALSE())</f>
        <v>Bare Metal Solution for Oracle</v>
      </c>
    </row>
    <row r="17" customFormat="false" ht="54.75" hidden="false" customHeight="true" outlineLevel="0" collapsed="false">
      <c r="B17" s="225" t="str">
        <f aca="false">C17&amp;" "&amp;D17</f>
        <v>Oracle Database DB on Nodes</v>
      </c>
      <c r="C17" s="225" t="s">
        <v>305</v>
      </c>
      <c r="D17" s="225" t="s">
        <v>324</v>
      </c>
      <c r="E17" s="225" t="s">
        <v>328</v>
      </c>
      <c r="F17" s="225" t="s">
        <v>329</v>
      </c>
      <c r="H17" s="215" t="n">
        <v>20</v>
      </c>
      <c r="I17" s="215" t="n">
        <v>16</v>
      </c>
      <c r="M17" s="215" t="s">
        <v>330</v>
      </c>
      <c r="N17" s="226" t="n">
        <f aca="false">N12/100</f>
        <v>30</v>
      </c>
    </row>
    <row r="18" customFormat="false" ht="68.25" hidden="false" customHeight="true" outlineLevel="0" collapsed="false">
      <c r="B18" s="225" t="str">
        <f aca="false">C18&amp;" "&amp;D18</f>
        <v>MS SQL Database Cloud Managed Database</v>
      </c>
      <c r="C18" s="225" t="s">
        <v>323</v>
      </c>
      <c r="D18" s="225" t="s">
        <v>306</v>
      </c>
      <c r="E18" s="225" t="s">
        <v>306</v>
      </c>
      <c r="F18" s="225"/>
      <c r="H18" s="215" t="n">
        <v>22</v>
      </c>
      <c r="I18" s="215" t="n">
        <v>16</v>
      </c>
      <c r="M18" s="225" t="s">
        <v>313</v>
      </c>
      <c r="N18" s="227" t="str">
        <f aca="false">VLOOKUP(B4,B43:D45,3,FALSE())</f>
        <v>Cloud Storage</v>
      </c>
    </row>
    <row r="19" customFormat="false" ht="68.25" hidden="false" customHeight="true" outlineLevel="0" collapsed="false">
      <c r="B19" s="225" t="str">
        <f aca="false">C19&amp;" "&amp;D19</f>
        <v>Oracle Database Cloud Managed Database</v>
      </c>
      <c r="C19" s="225" t="s">
        <v>305</v>
      </c>
      <c r="D19" s="225" t="s">
        <v>306</v>
      </c>
      <c r="E19" s="225" t="s">
        <v>306</v>
      </c>
      <c r="F19" s="225"/>
      <c r="H19" s="215" t="n">
        <v>24</v>
      </c>
      <c r="I19" s="215" t="n">
        <v>16</v>
      </c>
      <c r="M19" s="215" t="s">
        <v>331</v>
      </c>
      <c r="N19" s="227" t="str">
        <f aca="false">VLOOKUP(B4,B43:E45,4,FALSE())</f>
        <v>MemoryStore</v>
      </c>
    </row>
    <row r="20" customFormat="false" ht="15" hidden="false" customHeight="true" outlineLevel="0" collapsed="false">
      <c r="B20" s="228"/>
      <c r="C20" s="228"/>
      <c r="D20" s="228"/>
      <c r="E20" s="228"/>
      <c r="F20" s="228"/>
      <c r="H20" s="215" t="n">
        <v>26</v>
      </c>
      <c r="I20" s="215" t="n">
        <v>32</v>
      </c>
      <c r="M20" s="215" t="s">
        <v>332</v>
      </c>
      <c r="N20" s="227" t="n">
        <f aca="false">VLOOKUP(J4,B37:C39,2,FALSE())</f>
        <v>2</v>
      </c>
    </row>
    <row r="21" customFormat="false" ht="15" hidden="false" customHeight="true" outlineLevel="0" collapsed="false">
      <c r="B21" s="222" t="s">
        <v>308</v>
      </c>
      <c r="C21" s="222"/>
      <c r="D21" s="223" t="s">
        <v>309</v>
      </c>
      <c r="E21" s="223"/>
      <c r="F21" s="223"/>
      <c r="H21" s="215" t="n">
        <v>28</v>
      </c>
      <c r="I21" s="215" t="n">
        <v>32</v>
      </c>
      <c r="M21" s="215" t="s">
        <v>333</v>
      </c>
      <c r="N21" s="227" t="n">
        <f aca="false">VLOOKUP(I4,E38:F39,2,FALSE())</f>
        <v>1</v>
      </c>
    </row>
    <row r="22" customFormat="false" ht="41.25" hidden="false" customHeight="true" outlineLevel="0" collapsed="false">
      <c r="B22" s="224" t="s">
        <v>334</v>
      </c>
      <c r="C22" s="224" t="s">
        <v>294</v>
      </c>
      <c r="D22" s="224" t="s">
        <v>298</v>
      </c>
      <c r="E22" s="224" t="s">
        <v>299</v>
      </c>
      <c r="F22" s="224" t="s">
        <v>335</v>
      </c>
      <c r="H22" s="215" t="n">
        <v>30</v>
      </c>
      <c r="I22" s="215" t="n">
        <v>32</v>
      </c>
      <c r="M22" s="216" t="s">
        <v>336</v>
      </c>
      <c r="N22" s="217" t="str">
        <f aca="false">VLOOKUP(B4,B43:F45,5,FALSE())</f>
        <v>Artifact Registry</v>
      </c>
    </row>
    <row r="23" customFormat="false" ht="68.25" hidden="false" customHeight="true" outlineLevel="0" collapsed="false">
      <c r="B23" s="225" t="str">
        <f aca="false">C23&amp;" "&amp;D23&amp;" "&amp;E23</f>
        <v>AWS MS SQL Database DB on Nodes</v>
      </c>
      <c r="C23" s="225" t="s">
        <v>137</v>
      </c>
      <c r="D23" s="225" t="s">
        <v>323</v>
      </c>
      <c r="E23" s="225" t="s">
        <v>324</v>
      </c>
      <c r="F23" s="225" t="s">
        <v>337</v>
      </c>
      <c r="H23" s="215" t="n">
        <v>32</v>
      </c>
      <c r="I23" s="215" t="n">
        <v>32</v>
      </c>
      <c r="M23" s="216" t="s">
        <v>338</v>
      </c>
      <c r="N23" s="217" t="str">
        <f aca="false">VLOOKUP(B4,B43:G45,6,FALSE())</f>
        <v>Cloud NAT</v>
      </c>
    </row>
    <row r="24" customFormat="false" ht="54.75" hidden="false" customHeight="true" outlineLevel="0" collapsed="false">
      <c r="B24" s="225" t="str">
        <f aca="false">C24&amp;" "&amp;D24&amp;" "&amp;E24</f>
        <v>AWS Oracle Database DB on Nodes</v>
      </c>
      <c r="C24" s="225" t="s">
        <v>137</v>
      </c>
      <c r="D24" s="225" t="s">
        <v>305</v>
      </c>
      <c r="E24" s="225" t="s">
        <v>324</v>
      </c>
      <c r="F24" s="225" t="s">
        <v>337</v>
      </c>
      <c r="H24" s="215" t="n">
        <v>34</v>
      </c>
      <c r="I24" s="215" t="n">
        <v>32</v>
      </c>
    </row>
    <row r="25" customFormat="false" ht="81.75" hidden="false" customHeight="true" outlineLevel="0" collapsed="false">
      <c r="B25" s="225" t="str">
        <f aca="false">C25&amp;" "&amp;D25&amp;" "&amp;E25</f>
        <v>AWS MS SQL Database Cloud Managed Database</v>
      </c>
      <c r="C25" s="225" t="s">
        <v>137</v>
      </c>
      <c r="D25" s="225" t="s">
        <v>323</v>
      </c>
      <c r="E25" s="225" t="s">
        <v>306</v>
      </c>
      <c r="F25" s="225" t="s">
        <v>339</v>
      </c>
      <c r="H25" s="215" t="n">
        <v>36</v>
      </c>
      <c r="I25" s="215" t="n">
        <v>32</v>
      </c>
    </row>
    <row r="26" customFormat="false" ht="68.25" hidden="false" customHeight="true" outlineLevel="0" collapsed="false">
      <c r="B26" s="225" t="str">
        <f aca="false">C26&amp;" "&amp;D26&amp;" "&amp;E26</f>
        <v>AWS Oracle Database Cloud Managed Database</v>
      </c>
      <c r="C26" s="225" t="s">
        <v>137</v>
      </c>
      <c r="D26" s="225" t="s">
        <v>305</v>
      </c>
      <c r="E26" s="225" t="s">
        <v>306</v>
      </c>
      <c r="F26" s="225" t="s">
        <v>339</v>
      </c>
      <c r="H26" s="215" t="n">
        <v>38</v>
      </c>
      <c r="I26" s="215" t="n">
        <v>32</v>
      </c>
    </row>
    <row r="27" customFormat="false" ht="68.25" hidden="false" customHeight="true" outlineLevel="0" collapsed="false">
      <c r="B27" s="225" t="str">
        <f aca="false">C27&amp;" "&amp;D27&amp;" "&amp;E27</f>
        <v>GCP MS SQL Database DB on Nodes</v>
      </c>
      <c r="C27" s="225" t="s">
        <v>303</v>
      </c>
      <c r="D27" s="225" t="s">
        <v>323</v>
      </c>
      <c r="E27" s="225" t="s">
        <v>324</v>
      </c>
      <c r="F27" s="225" t="s">
        <v>337</v>
      </c>
      <c r="H27" s="215" t="n">
        <v>40</v>
      </c>
      <c r="I27" s="215" t="n">
        <v>32</v>
      </c>
    </row>
    <row r="28" customFormat="false" ht="54.75" hidden="false" customHeight="true" outlineLevel="0" collapsed="false">
      <c r="B28" s="225" t="str">
        <f aca="false">C28&amp;" "&amp;D28&amp;" "&amp;E28</f>
        <v>GCP Oracle Database DB on Nodes</v>
      </c>
      <c r="C28" s="225" t="s">
        <v>303</v>
      </c>
      <c r="D28" s="225" t="s">
        <v>305</v>
      </c>
      <c r="E28" s="225" t="s">
        <v>324</v>
      </c>
      <c r="F28" s="225" t="s">
        <v>337</v>
      </c>
      <c r="H28" s="215" t="n">
        <v>42</v>
      </c>
      <c r="I28" s="215" t="n">
        <v>64</v>
      </c>
    </row>
    <row r="29" customFormat="false" ht="81.75" hidden="false" customHeight="true" outlineLevel="0" collapsed="false">
      <c r="B29" s="225" t="str">
        <f aca="false">C29&amp;" "&amp;D29&amp;" "&amp;E29</f>
        <v>GCP MS SQL Database Cloud Managed Database</v>
      </c>
      <c r="C29" s="225" t="s">
        <v>303</v>
      </c>
      <c r="D29" s="225" t="s">
        <v>323</v>
      </c>
      <c r="E29" s="225" t="s">
        <v>306</v>
      </c>
      <c r="F29" s="225" t="s">
        <v>340</v>
      </c>
      <c r="H29" s="215" t="n">
        <v>44</v>
      </c>
      <c r="I29" s="215" t="n">
        <v>64</v>
      </c>
    </row>
    <row r="30" customFormat="false" ht="68.25" hidden="false" customHeight="true" outlineLevel="0" collapsed="false">
      <c r="B30" s="225" t="str">
        <f aca="false">C30&amp;" "&amp;D30&amp;" "&amp;E30</f>
        <v>GCP Oracle Database Cloud Managed Database</v>
      </c>
      <c r="C30" s="225" t="s">
        <v>303</v>
      </c>
      <c r="D30" s="225" t="s">
        <v>305</v>
      </c>
      <c r="E30" s="225" t="s">
        <v>306</v>
      </c>
      <c r="F30" s="225" t="s">
        <v>341</v>
      </c>
      <c r="H30" s="215" t="n">
        <v>46</v>
      </c>
      <c r="I30" s="215" t="n">
        <v>64</v>
      </c>
    </row>
    <row r="31" customFormat="false" ht="68.25" hidden="false" customHeight="true" outlineLevel="0" collapsed="false">
      <c r="B31" s="225" t="str">
        <f aca="false">C31&amp;" "&amp;D31&amp;" "&amp;E31</f>
        <v>Azure MS SQL Database DB on Nodes</v>
      </c>
      <c r="C31" s="225" t="s">
        <v>342</v>
      </c>
      <c r="D31" s="225" t="s">
        <v>323</v>
      </c>
      <c r="E31" s="225" t="s">
        <v>324</v>
      </c>
      <c r="F31" s="225" t="s">
        <v>337</v>
      </c>
      <c r="H31" s="215" t="n">
        <v>48</v>
      </c>
      <c r="I31" s="215" t="n">
        <v>64</v>
      </c>
    </row>
    <row r="32" customFormat="false" ht="68.25" hidden="false" customHeight="true" outlineLevel="0" collapsed="false">
      <c r="B32" s="225" t="str">
        <f aca="false">C32&amp;" "&amp;D32&amp;" "&amp;E32</f>
        <v>Azure Oracle Database DB on Nodes</v>
      </c>
      <c r="C32" s="225" t="s">
        <v>342</v>
      </c>
      <c r="D32" s="225" t="s">
        <v>305</v>
      </c>
      <c r="E32" s="225" t="s">
        <v>324</v>
      </c>
      <c r="F32" s="225" t="s">
        <v>337</v>
      </c>
      <c r="H32" s="215" t="n">
        <v>50</v>
      </c>
      <c r="I32" s="215" t="n">
        <v>64</v>
      </c>
    </row>
    <row r="33" customFormat="false" ht="81.75" hidden="false" customHeight="true" outlineLevel="0" collapsed="false">
      <c r="B33" s="229" t="str">
        <f aca="false">C33&amp;" "&amp;D33&amp;" "&amp;E33</f>
        <v>Azure MS SQL Database Cloud Managed Database</v>
      </c>
      <c r="C33" s="229" t="s">
        <v>342</v>
      </c>
      <c r="D33" s="229" t="s">
        <v>323</v>
      </c>
      <c r="E33" s="229" t="s">
        <v>306</v>
      </c>
      <c r="F33" s="225" t="s">
        <v>343</v>
      </c>
      <c r="H33" s="215" t="n">
        <v>52</v>
      </c>
      <c r="I33" s="215" t="n">
        <v>64</v>
      </c>
    </row>
    <row r="34" customFormat="false" ht="81.75" hidden="false" customHeight="true" outlineLevel="0" collapsed="false">
      <c r="B34" s="229" t="str">
        <f aca="false">C34&amp;" "&amp;D34&amp;" "&amp;E34</f>
        <v>Azure Oracle Database Cloud Managed Database</v>
      </c>
      <c r="C34" s="229" t="s">
        <v>342</v>
      </c>
      <c r="D34" s="229" t="s">
        <v>305</v>
      </c>
      <c r="E34" s="229" t="s">
        <v>306</v>
      </c>
      <c r="F34" s="225" t="s">
        <v>343</v>
      </c>
      <c r="H34" s="215" t="n">
        <v>54</v>
      </c>
      <c r="I34" s="215" t="n">
        <v>64</v>
      </c>
    </row>
    <row r="35" customFormat="false" ht="15" hidden="false" customHeight="true" outlineLevel="0" collapsed="false">
      <c r="H35" s="215" t="n">
        <v>56</v>
      </c>
      <c r="I35" s="215" t="n">
        <v>64</v>
      </c>
    </row>
    <row r="36" customFormat="false" ht="15" hidden="false" customHeight="true" outlineLevel="0" collapsed="false">
      <c r="H36" s="215" t="n">
        <v>58</v>
      </c>
      <c r="I36" s="215" t="n">
        <v>64</v>
      </c>
    </row>
    <row r="37" customFormat="false" ht="15" hidden="false" customHeight="true" outlineLevel="0" collapsed="false">
      <c r="B37" s="215" t="s">
        <v>302</v>
      </c>
      <c r="C37" s="215" t="s">
        <v>344</v>
      </c>
      <c r="E37" s="215" t="s">
        <v>301</v>
      </c>
      <c r="F37" s="215" t="s">
        <v>344</v>
      </c>
      <c r="H37" s="215" t="n">
        <v>60</v>
      </c>
      <c r="I37" s="215" t="n">
        <v>64</v>
      </c>
    </row>
    <row r="38" customFormat="false" ht="15" hidden="false" customHeight="true" outlineLevel="0" collapsed="false">
      <c r="B38" s="215" t="s">
        <v>141</v>
      </c>
      <c r="C38" s="215" t="n">
        <v>2</v>
      </c>
      <c r="E38" s="215" t="s">
        <v>141</v>
      </c>
      <c r="F38" s="215" t="n">
        <v>1</v>
      </c>
      <c r="H38" s="215" t="n">
        <v>62</v>
      </c>
      <c r="I38" s="215" t="n">
        <v>64</v>
      </c>
    </row>
    <row r="39" customFormat="false" ht="15" hidden="false" customHeight="true" outlineLevel="0" collapsed="false">
      <c r="B39" s="215" t="s">
        <v>152</v>
      </c>
      <c r="C39" s="215" t="n">
        <v>0</v>
      </c>
      <c r="E39" s="215" t="s">
        <v>152</v>
      </c>
      <c r="F39" s="215" t="n">
        <v>0</v>
      </c>
      <c r="H39" s="215" t="n">
        <v>64</v>
      </c>
      <c r="I39" s="215" t="n">
        <v>64</v>
      </c>
    </row>
    <row r="42" customFormat="false" ht="15" hidden="false" customHeight="true" outlineLevel="0" collapsed="false">
      <c r="B42" s="212" t="s">
        <v>294</v>
      </c>
      <c r="C42" s="212" t="s">
        <v>345</v>
      </c>
      <c r="D42" s="212" t="s">
        <v>346</v>
      </c>
      <c r="E42" s="212" t="s">
        <v>331</v>
      </c>
      <c r="F42" s="230" t="s">
        <v>336</v>
      </c>
      <c r="G42" s="212" t="s">
        <v>347</v>
      </c>
    </row>
    <row r="43" customFormat="false" ht="15" hidden="false" customHeight="true" outlineLevel="0" collapsed="false">
      <c r="B43" s="215" t="s">
        <v>137</v>
      </c>
      <c r="C43" s="215" t="s">
        <v>348</v>
      </c>
      <c r="D43" s="215" t="s">
        <v>349</v>
      </c>
      <c r="E43" s="215" t="s">
        <v>350</v>
      </c>
      <c r="F43" s="215" t="s">
        <v>351</v>
      </c>
      <c r="G43" s="215" t="s">
        <v>338</v>
      </c>
    </row>
    <row r="44" customFormat="false" ht="15" hidden="false" customHeight="true" outlineLevel="0" collapsed="false">
      <c r="B44" s="215" t="s">
        <v>303</v>
      </c>
      <c r="C44" s="215" t="s">
        <v>352</v>
      </c>
      <c r="D44" s="215" t="s">
        <v>353</v>
      </c>
      <c r="E44" s="215" t="s">
        <v>354</v>
      </c>
      <c r="F44" s="215" t="s">
        <v>355</v>
      </c>
      <c r="G44" s="215" t="s">
        <v>356</v>
      </c>
    </row>
    <row r="45" customFormat="false" ht="30.75" hidden="false" customHeight="true" outlineLevel="0" collapsed="false">
      <c r="B45" s="215" t="s">
        <v>342</v>
      </c>
      <c r="C45" s="215" t="s">
        <v>357</v>
      </c>
      <c r="D45" s="215" t="s">
        <v>358</v>
      </c>
      <c r="E45" s="215" t="s">
        <v>359</v>
      </c>
      <c r="F45" s="215" t="s">
        <v>360</v>
      </c>
      <c r="G45" s="231" t="s">
        <v>361</v>
      </c>
    </row>
  </sheetData>
  <mergeCells count="7">
    <mergeCell ref="B2:C2"/>
    <mergeCell ref="B6:C6"/>
    <mergeCell ref="D6:F6"/>
    <mergeCell ref="B14:C14"/>
    <mergeCell ref="D14:F14"/>
    <mergeCell ref="B21:C21"/>
    <mergeCell ref="D21:F21"/>
  </mergeCells>
  <dataValidations count="8">
    <dataValidation allowBlank="true" errorStyle="stop" operator="between" prompt="Select a Response" showDropDown="false" showErrorMessage="true" showInputMessage="true" sqref="B4" type="list">
      <formula1>"AWS,GCP,Azure"</formula1>
      <formula2>0</formula2>
    </dataValidation>
    <dataValidation allowBlank="true" errorStyle="stop" operator="between" prompt="Select a Response" showDropDown="false" showErrorMessage="true" showInputMessage="true" sqref="E4" type="list">
      <formula1>"1,2,3,4,5"</formula1>
      <formula2>0</formula2>
    </dataValidation>
    <dataValidation allowBlank="true" errorStyle="stop" operator="between" prompt="Select a Response" showDropDown="false" showErrorMessage="true" showInputMessage="true" sqref="F4" type="list">
      <formula1>"MS SQL Database,Oracle Database"</formula1>
      <formula2>0</formula2>
    </dataValidation>
    <dataValidation allowBlank="true" errorStyle="stop" operator="between" prompt="Select a Response" showDropDown="false" showErrorMessage="true" showInputMessage="true" sqref="G4" type="list">
      <formula1>"DB on Nodes,Cloud Managed Database"</formula1>
      <formula2>0</formula2>
    </dataValidation>
    <dataValidation allowBlank="true" errorStyle="stop" operator="between" prompt="Select a Response" showDropDown="false" showErrorMessage="true" showInputMessage="true" sqref="H4" type="list">
      <formula1>"Cloud managed,BYOL"</formula1>
      <formula2>0</formula2>
    </dataValidation>
    <dataValidation allowBlank="true" errorStyle="stop" operator="between" prompt="Select a Response" showDropDown="false" showErrorMessage="true" showInputMessage="true" sqref="I4:J4" type="list">
      <formula1>"Yes,No"</formula1>
      <formula2>0</formula2>
    </dataValidation>
    <dataValidation allowBlank="true" errorStyle="stop" operator="between" prompt="Select a Response" showDropDown="false" showErrorMessage="true" showInputMessage="true" sqref="D4" type="list">
      <formula1>"2,3"</formula1>
      <formula2>0</formula2>
    </dataValidation>
    <dataValidation allowBlank="true" errorStyle="stop" operator="between" prompt="Select a Response" showDropDown="false" showErrorMessage="true" showInputMessage="true" sqref="C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L5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21" activeCellId="0" sqref="B21"/>
    </sheetView>
  </sheetViews>
  <sheetFormatPr defaultColWidth="9.1484375" defaultRowHeight="15" zeroHeight="false" outlineLevelRow="0" outlineLevelCol="0"/>
  <cols>
    <col collapsed="false" customWidth="false" hidden="false" outlineLevel="0" max="1" min="1" style="232" width="9.14"/>
    <col collapsed="false" customWidth="true" hidden="false" outlineLevel="0" max="2" min="2" style="232" width="54.43"/>
    <col collapsed="false" customWidth="true" hidden="false" outlineLevel="0" max="3" min="3" style="233" width="16.84"/>
    <col collapsed="false" customWidth="true" hidden="false" outlineLevel="0" max="4" min="4" style="232" width="33.29"/>
    <col collapsed="false" customWidth="true" hidden="false" outlineLevel="0" max="5" min="5" style="232" width="17.71"/>
    <col collapsed="false" customWidth="true" hidden="false" outlineLevel="0" max="6" min="6" style="233" width="14.14"/>
    <col collapsed="false" customWidth="true" hidden="false" outlineLevel="0" max="8" min="7" style="233" width="14.29"/>
    <col collapsed="false" customWidth="true" hidden="false" outlineLevel="0" max="9" min="9" style="233" width="14.14"/>
    <col collapsed="false" customWidth="true" hidden="false" outlineLevel="0" max="11" min="10" style="233" width="14.29"/>
    <col collapsed="false" customWidth="true" hidden="false" outlineLevel="0" max="12" min="12" style="232" width="18.42"/>
    <col collapsed="false" customWidth="true" hidden="false" outlineLevel="0" max="13" min="13" style="232" width="16.29"/>
    <col collapsed="false" customWidth="true" hidden="false" outlineLevel="0" max="14" min="14" style="232" width="23.71"/>
    <col collapsed="false" customWidth="true" hidden="false" outlineLevel="0" max="15" min="15" style="232" width="31"/>
    <col collapsed="false" customWidth="false" hidden="false" outlineLevel="0" max="16" min="16" style="232" width="9.14"/>
    <col collapsed="false" customWidth="true" hidden="false" outlineLevel="0" max="17" min="17" style="232" width="27.57"/>
    <col collapsed="false" customWidth="true" hidden="false" outlineLevel="0" max="18" min="18" style="232" width="14"/>
    <col collapsed="false" customWidth="true" hidden="false" outlineLevel="0" max="19" min="19" style="232" width="16.29"/>
    <col collapsed="false" customWidth="true" hidden="false" outlineLevel="0" max="20" min="20" style="232" width="21.43"/>
    <col collapsed="false" customWidth="true" hidden="false" outlineLevel="0" max="21" min="21" style="232" width="24.42"/>
    <col collapsed="false" customWidth="false" hidden="false" outlineLevel="0" max="16384" min="22" style="232" width="9.14"/>
  </cols>
  <sheetData>
    <row r="2" customFormat="false" ht="18.75" hidden="false" customHeight="true" outlineLevel="0" collapsed="false">
      <c r="B2" s="233"/>
      <c r="C2" s="234" t="s">
        <v>294</v>
      </c>
      <c r="D2" s="234" t="s">
        <v>295</v>
      </c>
      <c r="E2" s="235" t="s">
        <v>362</v>
      </c>
      <c r="F2" s="234" t="s">
        <v>297</v>
      </c>
      <c r="I2" s="236"/>
      <c r="J2" s="236"/>
      <c r="K2" s="236"/>
    </row>
    <row r="3" customFormat="false" ht="18.75" hidden="false" customHeight="true" outlineLevel="0" collapsed="false">
      <c r="B3" s="233"/>
      <c r="C3" s="237" t="str">
        <f aca="false">'Cloud sizing inputs'!B4</f>
        <v>GCP</v>
      </c>
      <c r="D3" s="237" t="str">
        <f aca="false">'Cloud sizing inputs'!C4</f>
        <v>Mumbai</v>
      </c>
      <c r="E3" s="238" t="s">
        <v>363</v>
      </c>
      <c r="F3" s="234" t="n">
        <f aca="false">'Cloud sizing inputs'!E4</f>
        <v>5</v>
      </c>
      <c r="H3" s="239"/>
      <c r="I3" s="236"/>
      <c r="J3" s="236"/>
      <c r="K3" s="236"/>
    </row>
    <row r="4" customFormat="false" ht="15" hidden="false" customHeight="true" outlineLevel="0" collapsed="false">
      <c r="B4" s="240"/>
      <c r="C4" s="240"/>
      <c r="D4" s="240"/>
      <c r="E4" s="240"/>
      <c r="F4" s="240"/>
      <c r="G4" s="240"/>
      <c r="H4" s="240"/>
      <c r="I4" s="240"/>
      <c r="J4" s="240"/>
      <c r="K4" s="240"/>
    </row>
    <row r="5" s="233" customFormat="true" ht="64.5" hidden="false" customHeight="true" outlineLevel="0" collapsed="false">
      <c r="B5" s="241" t="s">
        <v>364</v>
      </c>
      <c r="C5" s="241" t="s">
        <v>344</v>
      </c>
      <c r="D5" s="241" t="s">
        <v>365</v>
      </c>
      <c r="E5" s="241" t="s">
        <v>366</v>
      </c>
      <c r="F5" s="241" t="s">
        <v>367</v>
      </c>
      <c r="G5" s="241" t="s">
        <v>368</v>
      </c>
      <c r="H5" s="241" t="s">
        <v>369</v>
      </c>
      <c r="I5" s="241" t="s">
        <v>370</v>
      </c>
      <c r="J5" s="241" t="s">
        <v>371</v>
      </c>
      <c r="K5" s="241" t="s">
        <v>372</v>
      </c>
    </row>
    <row r="6" customFormat="false" ht="15" hidden="false" customHeight="true" outlineLevel="0" collapsed="false">
      <c r="B6" s="242" t="s">
        <v>373</v>
      </c>
      <c r="C6" s="243"/>
      <c r="D6" s="243"/>
      <c r="E6" s="243"/>
      <c r="F6" s="243"/>
      <c r="G6" s="243"/>
      <c r="H6" s="243"/>
      <c r="I6" s="243"/>
      <c r="J6" s="243"/>
      <c r="K6" s="243"/>
    </row>
    <row r="7" customFormat="false" ht="15" hidden="false" customHeight="true" outlineLevel="0" collapsed="false">
      <c r="B7" s="244" t="s">
        <v>317</v>
      </c>
      <c r="C7" s="245" t="n">
        <v>1</v>
      </c>
      <c r="D7" s="246" t="str">
        <f aca="false">'Cloud sizing inputs'!N8</f>
        <v>GKE</v>
      </c>
      <c r="E7" s="247"/>
      <c r="F7" s="243"/>
      <c r="G7" s="243"/>
      <c r="H7" s="243"/>
      <c r="I7" s="243"/>
      <c r="J7" s="243"/>
      <c r="K7" s="243"/>
    </row>
    <row r="8" customFormat="false" ht="15" hidden="false" customHeight="true" outlineLevel="0" collapsed="false">
      <c r="B8" s="248" t="s">
        <v>310</v>
      </c>
      <c r="C8" s="249" t="e">
        <f aca="false">'Cloud sizing inputs'!N9</f>
        <v>#VALUE!</v>
      </c>
      <c r="D8" s="250" t="s">
        <v>374</v>
      </c>
      <c r="E8" s="251" t="s">
        <v>375</v>
      </c>
      <c r="F8" s="252" t="n">
        <v>16</v>
      </c>
      <c r="G8" s="252" t="n">
        <v>32</v>
      </c>
      <c r="H8" s="245" t="n">
        <v>300</v>
      </c>
      <c r="I8" s="245" t="e">
        <f aca="false">F8*C8</f>
        <v>#VALUE!</v>
      </c>
      <c r="J8" s="245" t="e">
        <f aca="false">G8*C8</f>
        <v>#VALUE!</v>
      </c>
      <c r="K8" s="253" t="e">
        <f aca="false">H8*C8/1024</f>
        <v>#VALUE!</v>
      </c>
    </row>
    <row r="9" customFormat="false" ht="15" hidden="false" customHeight="true" outlineLevel="0" collapsed="false">
      <c r="B9" s="254" t="s">
        <v>376</v>
      </c>
      <c r="C9" s="252" t="n">
        <f aca="false">'Cloud sizing inputs'!N20</f>
        <v>2</v>
      </c>
      <c r="D9" s="250" t="s">
        <v>374</v>
      </c>
      <c r="E9" s="251" t="s">
        <v>377</v>
      </c>
      <c r="F9" s="252" t="n">
        <v>8</v>
      </c>
      <c r="G9" s="252" t="n">
        <v>16</v>
      </c>
      <c r="H9" s="252" t="n">
        <v>512</v>
      </c>
      <c r="I9" s="252" t="n">
        <f aca="false">F9*C9</f>
        <v>16</v>
      </c>
      <c r="J9" s="252" t="n">
        <f aca="false">G9*C9</f>
        <v>32</v>
      </c>
      <c r="K9" s="255" t="n">
        <f aca="false">H9*C9/1024</f>
        <v>1</v>
      </c>
    </row>
    <row r="10" customFormat="false" ht="15" hidden="false" customHeight="true" outlineLevel="0" collapsed="false">
      <c r="B10" s="254" t="s">
        <v>378</v>
      </c>
      <c r="C10" s="252" t="n">
        <f aca="false">'Cloud sizing inputs'!N20</f>
        <v>2</v>
      </c>
      <c r="D10" s="250" t="s">
        <v>374</v>
      </c>
      <c r="E10" s="251" t="s">
        <v>375</v>
      </c>
      <c r="F10" s="252" t="n">
        <v>8</v>
      </c>
      <c r="G10" s="252" t="n">
        <v>16</v>
      </c>
      <c r="H10" s="252" t="e">
        <f aca="false">C8*512</f>
        <v>#VALUE!</v>
      </c>
      <c r="I10" s="252" t="n">
        <f aca="false">F10*C10</f>
        <v>16</v>
      </c>
      <c r="J10" s="252" t="n">
        <f aca="false">G10*C10</f>
        <v>32</v>
      </c>
      <c r="K10" s="255" t="e">
        <f aca="false">H10*C10/1024</f>
        <v>#VALUE!</v>
      </c>
    </row>
    <row r="11" customFormat="false" ht="13.5" hidden="false" customHeight="true" outlineLevel="0" collapsed="false">
      <c r="B11" s="248"/>
      <c r="C11" s="245"/>
      <c r="D11" s="218"/>
      <c r="E11" s="218"/>
      <c r="F11" s="245"/>
      <c r="G11" s="245"/>
      <c r="H11" s="245"/>
      <c r="I11" s="245"/>
      <c r="J11" s="245"/>
      <c r="K11" s="245"/>
    </row>
    <row r="12" s="256" customFormat="true" ht="15" hidden="false" customHeight="true" outlineLevel="0" collapsed="false">
      <c r="B12" s="257" t="str">
        <f aca="false">'Cloud sizing inputs'!F4</f>
        <v>Oracle Database</v>
      </c>
      <c r="C12" s="258"/>
      <c r="D12" s="258"/>
      <c r="E12" s="258"/>
      <c r="F12" s="258"/>
      <c r="G12" s="258"/>
      <c r="H12" s="258"/>
      <c r="I12" s="258"/>
      <c r="J12" s="258"/>
      <c r="K12" s="258"/>
    </row>
    <row r="13" s="256" customFormat="true" ht="15" hidden="false" customHeight="true" outlineLevel="0" collapsed="false">
      <c r="B13" s="259" t="str">
        <f aca="false">'Cloud sizing inputs'!N14</f>
        <v>Cloud Managed Database</v>
      </c>
      <c r="C13" s="252" t="n">
        <v>2</v>
      </c>
      <c r="D13" s="221" t="str">
        <f aca="false">'Cloud sizing inputs'!N16</f>
        <v>Bare Metal Solution for Oracle</v>
      </c>
      <c r="E13" s="251" t="s">
        <v>375</v>
      </c>
      <c r="F13" s="260" t="e">
        <f aca="false">'Cloud sizing inputs'!N11</f>
        <v>#N/A</v>
      </c>
      <c r="G13" s="260" t="e">
        <f aca="false">F13*8</f>
        <v>#N/A</v>
      </c>
      <c r="H13" s="260" t="n">
        <v>300</v>
      </c>
      <c r="I13" s="260" t="e">
        <f aca="false">F13*C13</f>
        <v>#N/A</v>
      </c>
      <c r="J13" s="252" t="e">
        <f aca="false">G13*C13</f>
        <v>#N/A</v>
      </c>
      <c r="K13" s="255" t="n">
        <f aca="false">H13*C13/1024</f>
        <v>0.5859375</v>
      </c>
    </row>
    <row r="14" s="256" customFormat="true" ht="15" hidden="false" customHeight="true" outlineLevel="0" collapsed="false">
      <c r="B14" s="261" t="str">
        <f aca="false">'Cloud sizing inputs'!N15</f>
        <v>Oracle License</v>
      </c>
      <c r="C14" s="252" t="n">
        <v>2</v>
      </c>
      <c r="D14" s="221" t="str">
        <f aca="false">'Cloud sizing inputs'!H4</f>
        <v>Cloud managed</v>
      </c>
      <c r="E14" s="262"/>
      <c r="F14" s="260"/>
      <c r="G14" s="260"/>
      <c r="H14" s="260"/>
      <c r="I14" s="260"/>
      <c r="J14" s="252"/>
      <c r="K14" s="252"/>
    </row>
    <row r="15" s="256" customFormat="true" ht="15" hidden="false" customHeight="true" outlineLevel="0" collapsed="false">
      <c r="B15" s="254" t="s">
        <v>379</v>
      </c>
      <c r="C15" s="252" t="n">
        <v>1</v>
      </c>
      <c r="D15" s="263" t="n">
        <f aca="false">ROUNDUP('Cloud sizing inputs'!N17/5,0)*5</f>
        <v>30</v>
      </c>
      <c r="E15" s="264"/>
      <c r="F15" s="260"/>
      <c r="G15" s="260"/>
      <c r="H15" s="260" t="n">
        <f aca="false">'Cloud sizing inputs'!N12</f>
        <v>3000</v>
      </c>
      <c r="I15" s="260"/>
      <c r="J15" s="252"/>
      <c r="K15" s="255" t="n">
        <f aca="false">H15/1024</f>
        <v>2.9296875</v>
      </c>
    </row>
    <row r="16" s="256" customFormat="true" ht="15" hidden="false" customHeight="true" outlineLevel="0" collapsed="false">
      <c r="B16" s="254"/>
      <c r="C16" s="252"/>
      <c r="D16" s="264"/>
      <c r="E16" s="264"/>
      <c r="F16" s="260"/>
      <c r="G16" s="260"/>
      <c r="H16" s="260"/>
      <c r="I16" s="260"/>
      <c r="J16" s="252"/>
      <c r="K16" s="265"/>
    </row>
    <row r="17" s="256" customFormat="true" ht="15" hidden="false" customHeight="true" outlineLevel="0" collapsed="false">
      <c r="B17" s="257" t="str">
        <f aca="false">CONCATENATE('Cloud sizing inputs'!F4," - Reporting")</f>
        <v>Oracle Database - Reporting</v>
      </c>
      <c r="C17" s="258"/>
      <c r="D17" s="258"/>
      <c r="E17" s="258"/>
      <c r="F17" s="258"/>
      <c r="G17" s="258"/>
      <c r="H17" s="258"/>
      <c r="I17" s="258"/>
      <c r="J17" s="258"/>
      <c r="K17" s="258"/>
    </row>
    <row r="18" s="256" customFormat="true" ht="15" hidden="false" customHeight="true" outlineLevel="0" collapsed="false">
      <c r="B18" s="256" t="str">
        <f aca="false">B13</f>
        <v>Cloud Managed Database</v>
      </c>
      <c r="C18" s="252" t="n">
        <f aca="false">'Cloud sizing inputs'!N21</f>
        <v>1</v>
      </c>
      <c r="D18" s="221" t="str">
        <f aca="false">D13</f>
        <v>Bare Metal Solution for Oracle</v>
      </c>
      <c r="E18" s="262" t="str">
        <f aca="false">E13</f>
        <v>Reserved</v>
      </c>
      <c r="F18" s="252" t="e">
        <f aca="false">F13</f>
        <v>#N/A</v>
      </c>
      <c r="G18" s="252" t="e">
        <f aca="false">G13</f>
        <v>#N/A</v>
      </c>
      <c r="H18" s="252" t="n">
        <f aca="false">H13</f>
        <v>300</v>
      </c>
      <c r="I18" s="252" t="e">
        <f aca="false">F18*C18</f>
        <v>#N/A</v>
      </c>
      <c r="J18" s="252" t="e">
        <f aca="false">G18*C18</f>
        <v>#N/A</v>
      </c>
      <c r="K18" s="255" t="n">
        <f aca="false">H18*C18/1024</f>
        <v>0.29296875</v>
      </c>
    </row>
    <row r="19" s="256" customFormat="true" ht="15" hidden="false" customHeight="true" outlineLevel="0" collapsed="false">
      <c r="B19" s="261" t="str">
        <f aca="false">B14</f>
        <v>Oracle License</v>
      </c>
      <c r="C19" s="252" t="n">
        <f aca="false">'Cloud sizing inputs'!N21</f>
        <v>1</v>
      </c>
      <c r="D19" s="221" t="str">
        <f aca="false">D14</f>
        <v>Cloud managed</v>
      </c>
      <c r="E19" s="262"/>
      <c r="F19" s="252"/>
      <c r="G19" s="252"/>
      <c r="H19" s="252"/>
      <c r="I19" s="252"/>
      <c r="J19" s="252"/>
      <c r="K19" s="252"/>
    </row>
    <row r="20" s="256" customFormat="true" ht="15" hidden="false" customHeight="true" outlineLevel="0" collapsed="false">
      <c r="B20" s="261" t="str">
        <f aca="false">B15</f>
        <v>Persistance DB Storage</v>
      </c>
      <c r="C20" s="252" t="n">
        <f aca="false">'Cloud sizing inputs'!N21</f>
        <v>1</v>
      </c>
      <c r="D20" s="263" t="n">
        <f aca="false">D15</f>
        <v>30</v>
      </c>
      <c r="E20" s="266"/>
      <c r="F20" s="260"/>
      <c r="G20" s="252"/>
      <c r="H20" s="252" t="n">
        <f aca="false">H15</f>
        <v>3000</v>
      </c>
      <c r="I20" s="260"/>
      <c r="J20" s="252"/>
      <c r="K20" s="255" t="n">
        <f aca="false">H20/1024</f>
        <v>2.9296875</v>
      </c>
    </row>
    <row r="21" customFormat="false" ht="15" hidden="false" customHeight="true" outlineLevel="0" collapsed="false">
      <c r="B21" s="248"/>
      <c r="C21" s="245"/>
      <c r="D21" s="267"/>
      <c r="E21" s="267"/>
      <c r="F21" s="245"/>
      <c r="G21" s="245"/>
      <c r="H21" s="245"/>
      <c r="I21" s="245"/>
      <c r="J21" s="245"/>
      <c r="K21" s="268"/>
    </row>
    <row r="22" customFormat="false" ht="15" hidden="false" customHeight="true" outlineLevel="0" collapsed="false">
      <c r="B22" s="269" t="s">
        <v>380</v>
      </c>
      <c r="C22" s="270"/>
      <c r="D22" s="270"/>
      <c r="E22" s="270"/>
      <c r="F22" s="270"/>
      <c r="G22" s="270"/>
      <c r="H22" s="270"/>
      <c r="I22" s="270"/>
      <c r="J22" s="270"/>
      <c r="K22" s="270"/>
    </row>
    <row r="23" customFormat="false" ht="15" hidden="false" customHeight="true" outlineLevel="0" collapsed="false">
      <c r="B23" s="248" t="s">
        <v>313</v>
      </c>
      <c r="C23" s="245" t="n">
        <v>1</v>
      </c>
      <c r="D23" s="271" t="str">
        <f aca="false">'Cloud sizing inputs'!N18</f>
        <v>Cloud Storage</v>
      </c>
      <c r="E23" s="262" t="s">
        <v>381</v>
      </c>
      <c r="F23" s="245"/>
      <c r="G23" s="245"/>
      <c r="H23" s="260" t="n">
        <f aca="false">'Cloud sizing inputs'!N13</f>
        <v>8700</v>
      </c>
      <c r="I23" s="245"/>
      <c r="J23" s="245"/>
      <c r="K23" s="255" t="n">
        <f aca="false">H23/1024</f>
        <v>8.49609375</v>
      </c>
    </row>
    <row r="24" customFormat="false" ht="15" hidden="false" customHeight="true" outlineLevel="0" collapsed="false">
      <c r="B24" s="272"/>
      <c r="C24" s="245"/>
      <c r="D24" s="218"/>
      <c r="E24" s="218"/>
      <c r="F24" s="245"/>
      <c r="G24" s="245"/>
      <c r="H24" s="245"/>
      <c r="I24" s="245"/>
      <c r="J24" s="245"/>
      <c r="K24" s="245"/>
    </row>
    <row r="25" customFormat="false" ht="15" hidden="false" customHeight="true" outlineLevel="0" collapsed="false">
      <c r="B25" s="269" t="s">
        <v>382</v>
      </c>
      <c r="C25" s="270"/>
      <c r="D25" s="270"/>
      <c r="E25" s="270"/>
      <c r="F25" s="270"/>
      <c r="G25" s="270"/>
      <c r="H25" s="270"/>
      <c r="I25" s="270"/>
      <c r="J25" s="270"/>
      <c r="K25" s="270"/>
    </row>
    <row r="26" customFormat="false" ht="15" hidden="false" customHeight="true" outlineLevel="0" collapsed="false">
      <c r="B26" s="248" t="s">
        <v>331</v>
      </c>
      <c r="C26" s="245" t="n">
        <v>3</v>
      </c>
      <c r="D26" s="271" t="str">
        <f aca="false">'Cloud sizing inputs'!N19</f>
        <v>MemoryStore</v>
      </c>
      <c r="E26" s="251" t="s">
        <v>375</v>
      </c>
      <c r="F26" s="245"/>
      <c r="G26" s="252" t="e">
        <f aca="false">IF(F13&lt;33,16,32)</f>
        <v>#N/A</v>
      </c>
      <c r="H26" s="252"/>
      <c r="I26" s="245"/>
      <c r="J26" s="245" t="e">
        <f aca="false">G26*C26</f>
        <v>#N/A</v>
      </c>
      <c r="K26" s="245"/>
      <c r="L26" s="273"/>
    </row>
    <row r="27" customFormat="false" ht="15" hidden="false" customHeight="true" outlineLevel="0" collapsed="false">
      <c r="B27" s="274"/>
      <c r="C27" s="245"/>
      <c r="D27" s="218"/>
      <c r="E27" s="218"/>
      <c r="F27" s="245"/>
      <c r="G27" s="245"/>
      <c r="H27" s="245"/>
      <c r="I27" s="245"/>
      <c r="J27" s="245"/>
      <c r="K27" s="245"/>
    </row>
    <row r="28" customFormat="false" ht="15" hidden="false" customHeight="true" outlineLevel="0" collapsed="false">
      <c r="B28" s="269" t="s">
        <v>383</v>
      </c>
      <c r="C28" s="270"/>
      <c r="D28" s="270"/>
      <c r="E28" s="270"/>
      <c r="F28" s="270"/>
      <c r="G28" s="270"/>
      <c r="H28" s="270"/>
      <c r="I28" s="270"/>
      <c r="J28" s="270"/>
      <c r="K28" s="270"/>
    </row>
    <row r="29" customFormat="false" ht="15" hidden="false" customHeight="true" outlineLevel="0" collapsed="false">
      <c r="B29" s="248" t="s">
        <v>384</v>
      </c>
      <c r="C29" s="245" t="n">
        <v>1</v>
      </c>
      <c r="D29" s="218" t="s">
        <v>385</v>
      </c>
      <c r="E29" s="251" t="s">
        <v>375</v>
      </c>
      <c r="F29" s="245" t="e">
        <f aca="false">IF(C8&lt;3,2,4)</f>
        <v>#VALUE!</v>
      </c>
      <c r="G29" s="245" t="e">
        <f aca="false">F29*2</f>
        <v>#VALUE!</v>
      </c>
      <c r="H29" s="245" t="n">
        <v>100</v>
      </c>
      <c r="I29" s="245" t="e">
        <f aca="false">F29*C29</f>
        <v>#VALUE!</v>
      </c>
      <c r="J29" s="245" t="e">
        <f aca="false">G29*C29</f>
        <v>#VALUE!</v>
      </c>
      <c r="K29" s="253" t="n">
        <f aca="false">H29/1024</f>
        <v>0.09765625</v>
      </c>
    </row>
    <row r="30" customFormat="false" ht="15" hidden="false" customHeight="true" outlineLevel="0" collapsed="false">
      <c r="B30" s="248" t="s">
        <v>386</v>
      </c>
      <c r="C30" s="245" t="e">
        <f aca="false">IF(C8&lt;4,10,20)</f>
        <v>#VALUE!</v>
      </c>
      <c r="D30" s="218"/>
      <c r="E30" s="218"/>
      <c r="F30" s="245"/>
      <c r="G30" s="245"/>
      <c r="H30" s="245"/>
      <c r="I30" s="245"/>
      <c r="J30" s="245"/>
      <c r="K30" s="245"/>
    </row>
    <row r="31" customFormat="false" ht="15" hidden="false" customHeight="true" outlineLevel="0" collapsed="false">
      <c r="B31" s="248" t="s">
        <v>336</v>
      </c>
      <c r="C31" s="245"/>
      <c r="D31" s="218" t="str">
        <f aca="false">'Cloud sizing inputs'!N22</f>
        <v>Artifact Registry</v>
      </c>
      <c r="E31" s="262"/>
      <c r="F31" s="245"/>
      <c r="G31" s="245"/>
      <c r="H31" s="245"/>
      <c r="I31" s="245"/>
      <c r="J31" s="245"/>
      <c r="K31" s="253" t="e">
        <f aca="false">IF(C8&lt;4,1,2)</f>
        <v>#VALUE!</v>
      </c>
    </row>
    <row r="32" s="233" customFormat="true" ht="15" hidden="false" customHeight="true" outlineLevel="0" collapsed="false">
      <c r="B32" s="248" t="s">
        <v>387</v>
      </c>
      <c r="C32" s="245" t="n">
        <v>1</v>
      </c>
      <c r="D32" s="267"/>
      <c r="E32" s="267"/>
      <c r="F32" s="245"/>
      <c r="G32" s="245"/>
      <c r="H32" s="245"/>
      <c r="I32" s="245"/>
      <c r="J32" s="245"/>
      <c r="K32" s="245"/>
    </row>
    <row r="33" customFormat="false" ht="15" hidden="false" customHeight="true" outlineLevel="0" collapsed="false">
      <c r="B33" s="248" t="s">
        <v>388</v>
      </c>
      <c r="C33" s="245" t="n">
        <v>1</v>
      </c>
      <c r="D33" s="218"/>
      <c r="E33" s="218"/>
      <c r="F33" s="245"/>
      <c r="G33" s="245"/>
      <c r="H33" s="245"/>
      <c r="I33" s="245"/>
      <c r="J33" s="245"/>
      <c r="K33" s="245"/>
    </row>
    <row r="34" customFormat="false" ht="15" hidden="false" customHeight="true" outlineLevel="0" collapsed="false">
      <c r="B34" s="248" t="str">
        <f aca="false">'Cloud sizing inputs'!N23</f>
        <v>Cloud NAT</v>
      </c>
      <c r="C34" s="245" t="n">
        <f aca="false">'Cloud sizing inputs'!D4</f>
        <v>2</v>
      </c>
      <c r="D34" s="218"/>
      <c r="E34" s="218"/>
      <c r="F34" s="245"/>
      <c r="G34" s="245"/>
      <c r="H34" s="245"/>
      <c r="I34" s="245"/>
      <c r="J34" s="245"/>
      <c r="K34" s="252" t="e">
        <f aca="false">0.75*C8</f>
        <v>#VALUE!</v>
      </c>
    </row>
    <row r="35" customFormat="false" ht="15" hidden="false" customHeight="true" outlineLevel="0" collapsed="false">
      <c r="B35" s="248" t="s">
        <v>389</v>
      </c>
      <c r="C35" s="245"/>
      <c r="D35" s="218" t="str">
        <f aca="false">D23</f>
        <v>Cloud Storage</v>
      </c>
      <c r="E35" s="245" t="s">
        <v>390</v>
      </c>
      <c r="F35" s="245"/>
      <c r="G35" s="245"/>
      <c r="H35" s="245"/>
      <c r="I35" s="245"/>
      <c r="J35" s="245"/>
      <c r="K35" s="253" t="n">
        <f aca="false">K15*5/2</f>
        <v>7.32421875</v>
      </c>
    </row>
    <row r="53" customFormat="false" ht="15" hidden="false" customHeight="true" outlineLevel="0" collapsed="false">
      <c r="B53" s="275"/>
    </row>
  </sheetData>
  <mergeCells count="2">
    <mergeCell ref="B4:K4"/>
    <mergeCell ref="E35:J35"/>
  </mergeCells>
  <dataValidations count="1">
    <dataValidation allowBlank="true" errorStyle="stop" operator="between" prompt="IOPS" showDropDown="false" showErrorMessage="true" showInputMessage="true" sqref="D15 D20"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3: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8.6796875" defaultRowHeight="15" zeroHeight="false" outlineLevelRow="0" outlineLevelCol="0"/>
  <cols>
    <col collapsed="false" customWidth="true" hidden="false" outlineLevel="0" max="2" min="2" style="1" width="34.71"/>
  </cols>
  <sheetData>
    <row r="3" s="9" customFormat="true" ht="15" hidden="false" customHeight="true" outlineLevel="0" collapsed="false">
      <c r="B3" s="276" t="s">
        <v>391</v>
      </c>
      <c r="C3" s="277" t="n">
        <v>1</v>
      </c>
      <c r="D3" s="278"/>
      <c r="E3" s="278"/>
      <c r="F3" s="277"/>
      <c r="G3" s="277"/>
      <c r="H3" s="277"/>
      <c r="I3" s="277"/>
      <c r="J3" s="277"/>
      <c r="K3" s="277" t="e">
        <f aca="false">1.5*'Cloud Sizing'!C8</f>
        <v>#VALUE!</v>
      </c>
    </row>
    <row r="4" s="9" customFormat="true" ht="15" hidden="false" customHeight="true" outlineLevel="0" collapsed="false">
      <c r="B4" s="276" t="s">
        <v>392</v>
      </c>
      <c r="C4" s="277" t="n">
        <v>1</v>
      </c>
      <c r="D4" s="278"/>
      <c r="E4" s="278"/>
      <c r="F4" s="277"/>
      <c r="G4" s="277"/>
      <c r="H4" s="277"/>
      <c r="I4" s="277"/>
      <c r="J4" s="277"/>
      <c r="K4" s="277"/>
    </row>
    <row r="5" s="9" customFormat="true" ht="15" hidden="false" customHeight="true" outlineLevel="0" collapsed="false">
      <c r="B5" s="276" t="s">
        <v>393</v>
      </c>
      <c r="C5" s="277" t="n">
        <v>1</v>
      </c>
      <c r="D5" s="278"/>
      <c r="E5" s="278"/>
      <c r="F5" s="277"/>
      <c r="G5" s="277"/>
      <c r="H5" s="277"/>
      <c r="I5" s="277"/>
      <c r="J5" s="277"/>
      <c r="K5" s="277"/>
    </row>
    <row r="6" s="9" customFormat="true" ht="15" hidden="false" customHeight="true" outlineLevel="0" collapsed="false">
      <c r="B6" s="276" t="s">
        <v>394</v>
      </c>
      <c r="C6" s="279" t="n">
        <v>1</v>
      </c>
      <c r="D6" s="280"/>
      <c r="E6" s="280"/>
      <c r="F6" s="279"/>
      <c r="G6" s="279"/>
      <c r="H6" s="279"/>
      <c r="I6" s="279"/>
      <c r="J6" s="279"/>
      <c r="K6" s="279"/>
    </row>
    <row r="7" s="9" customFormat="true" ht="15" hidden="false" customHeight="true" outlineLevel="0" collapsed="false">
      <c r="B7" s="276" t="s">
        <v>395</v>
      </c>
      <c r="C7" s="279" t="n">
        <v>1</v>
      </c>
      <c r="D7" s="280"/>
      <c r="E7" s="280"/>
      <c r="F7" s="279"/>
      <c r="G7" s="279"/>
      <c r="H7" s="279"/>
      <c r="I7" s="279"/>
      <c r="J7" s="279"/>
      <c r="K7" s="279"/>
    </row>
    <row r="8" s="9" customFormat="true" ht="15" hidden="false" customHeight="true" outlineLevel="0" collapsed="false">
      <c r="B8" s="276" t="s">
        <v>396</v>
      </c>
      <c r="C8" s="279" t="n">
        <v>1</v>
      </c>
      <c r="D8" s="280"/>
      <c r="E8" s="280"/>
      <c r="F8" s="279"/>
      <c r="G8" s="279"/>
      <c r="H8" s="279"/>
      <c r="I8" s="279"/>
      <c r="J8" s="279"/>
      <c r="K8" s="279"/>
    </row>
    <row r="9" s="9" customFormat="true" ht="15" hidden="false" customHeight="true" outlineLevel="0" collapsed="false">
      <c r="B9" s="276" t="s">
        <v>397</v>
      </c>
      <c r="C9" s="279" t="n">
        <v>1</v>
      </c>
      <c r="D9" s="280"/>
      <c r="E9" s="280"/>
      <c r="F9" s="279"/>
      <c r="G9" s="279"/>
      <c r="H9" s="279"/>
      <c r="I9" s="279"/>
      <c r="J9" s="279"/>
      <c r="K9" s="279"/>
    </row>
    <row r="10" s="9" customFormat="true" ht="15" hidden="false" customHeight="true" outlineLevel="0" collapsed="false">
      <c r="B10" s="276" t="s">
        <v>398</v>
      </c>
      <c r="C10" s="279" t="n">
        <v>1</v>
      </c>
      <c r="D10" s="280"/>
      <c r="E10" s="280"/>
      <c r="F10" s="279"/>
      <c r="G10" s="279"/>
      <c r="H10" s="279"/>
      <c r="I10" s="279"/>
      <c r="J10" s="279"/>
      <c r="K10" s="279"/>
    </row>
    <row r="11" s="9" customFormat="true" ht="15" hidden="false" customHeight="true" outlineLevel="0" collapsed="false">
      <c r="B11" s="281" t="s">
        <v>399</v>
      </c>
      <c r="C11" s="279" t="n">
        <v>1</v>
      </c>
      <c r="D11" s="280"/>
      <c r="E11" s="280"/>
      <c r="F11" s="279"/>
      <c r="G11" s="279"/>
      <c r="H11" s="279"/>
      <c r="I11" s="279"/>
      <c r="J11" s="279"/>
      <c r="K11" s="279"/>
    </row>
    <row r="12" s="9" customFormat="true" ht="15" hidden="false" customHeight="true" outlineLevel="0" collapsed="false">
      <c r="B12" s="276" t="s">
        <v>400</v>
      </c>
      <c r="C12" s="279" t="n">
        <v>1</v>
      </c>
      <c r="D12" s="280"/>
      <c r="E12" s="280"/>
      <c r="F12" s="279"/>
      <c r="G12" s="279"/>
      <c r="H12" s="279"/>
      <c r="I12" s="279"/>
      <c r="J12" s="279"/>
      <c r="K12" s="279"/>
    </row>
    <row r="13" s="9" customFormat="true" ht="41.25" hidden="false" customHeight="true" outlineLevel="0" collapsed="false">
      <c r="B13" s="276" t="s">
        <v>401</v>
      </c>
      <c r="C13" s="277" t="n">
        <v>1</v>
      </c>
      <c r="D13" s="278" t="s">
        <v>402</v>
      </c>
      <c r="E13" s="278"/>
      <c r="F13" s="277"/>
      <c r="G13" s="277"/>
      <c r="H13" s="277"/>
      <c r="I13" s="277"/>
      <c r="J13" s="277"/>
      <c r="K13" s="277"/>
    </row>
    <row r="14" s="9" customFormat="true" ht="41.25" hidden="false" customHeight="true" outlineLevel="0" collapsed="false">
      <c r="B14" s="276" t="s">
        <v>403</v>
      </c>
      <c r="C14" s="277" t="n">
        <v>1</v>
      </c>
      <c r="D14" s="282" t="s">
        <v>404</v>
      </c>
      <c r="E14" s="282"/>
      <c r="F14" s="282"/>
      <c r="G14" s="282"/>
      <c r="H14" s="282"/>
      <c r="I14" s="282"/>
      <c r="J14" s="282"/>
      <c r="K14" s="282"/>
    </row>
  </sheetData>
  <mergeCells count="1">
    <mergeCell ref="D14:K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4" colorId="64" zoomScale="80" zoomScaleNormal="80" zoomScalePageLayoutView="100" workbookViewId="0">
      <selection pane="topLeft" activeCell="B4" activeCellId="0" sqref="B4"/>
    </sheetView>
  </sheetViews>
  <sheetFormatPr defaultColWidth="24.2890625" defaultRowHeight="15" zeroHeight="false" outlineLevelRow="0" outlineLevelCol="0"/>
  <cols>
    <col collapsed="false" customWidth="true" hidden="false" outlineLevel="0" max="1" min="1" style="44" width="2.57"/>
    <col collapsed="false" customWidth="true" hidden="false" outlineLevel="0" max="2" min="2" style="44" width="55"/>
    <col collapsed="false" customWidth="true" hidden="false" outlineLevel="0" max="3" min="3" style="44" width="14"/>
    <col collapsed="false" customWidth="true" hidden="false" outlineLevel="0" max="4" min="4" style="44" width="13.57"/>
    <col collapsed="false" customWidth="true" hidden="false" outlineLevel="0" max="5" min="5" style="44" width="14"/>
    <col collapsed="false" customWidth="true" hidden="false" outlineLevel="0" max="6" min="6" style="44" width="16"/>
    <col collapsed="false" customWidth="true" hidden="false" outlineLevel="0" max="7" min="7" style="44" width="19.29"/>
    <col collapsed="false" customWidth="true" hidden="false" outlineLevel="0" max="8" min="8" style="44" width="65"/>
    <col collapsed="false" customWidth="false" hidden="false" outlineLevel="0" max="16384" min="9" style="44" width="24.29"/>
  </cols>
  <sheetData>
    <row r="1" customFormat="false" ht="15" hidden="false" customHeight="true" outlineLevel="0" collapsed="false">
      <c r="A1" s="43"/>
      <c r="B1" s="43"/>
      <c r="C1" s="43"/>
    </row>
    <row r="2" customFormat="false" ht="15" hidden="false" customHeight="true" outlineLevel="0" collapsed="false">
      <c r="A2" s="43"/>
      <c r="B2" s="283" t="s">
        <v>405</v>
      </c>
      <c r="C2" s="283"/>
      <c r="D2" s="283"/>
      <c r="E2" s="283"/>
      <c r="F2" s="283"/>
      <c r="G2" s="283"/>
      <c r="H2" s="283" t="s">
        <v>406</v>
      </c>
    </row>
    <row r="3" customFormat="false" ht="15" hidden="false" customHeight="true" outlineLevel="0" collapsed="false">
      <c r="A3" s="43"/>
      <c r="B3" s="284" t="s">
        <v>407</v>
      </c>
      <c r="C3" s="285" t="s">
        <v>408</v>
      </c>
      <c r="D3" s="285" t="s">
        <v>409</v>
      </c>
      <c r="E3" s="285" t="s">
        <v>410</v>
      </c>
      <c r="F3" s="285" t="s">
        <v>411</v>
      </c>
      <c r="G3" s="285" t="s">
        <v>412</v>
      </c>
      <c r="H3" s="215"/>
    </row>
    <row r="4" customFormat="false" ht="15" hidden="false" customHeight="true" outlineLevel="0" collapsed="false">
      <c r="A4" s="43"/>
      <c r="B4" s="286" t="s">
        <v>413</v>
      </c>
      <c r="C4" s="287" t="n">
        <f aca="false">'Customer Volumes'!D4</f>
        <v>4650</v>
      </c>
      <c r="D4" s="287" t="n">
        <f aca="false">'Customer Volumes'!E4</f>
        <v>4882.5</v>
      </c>
      <c r="E4" s="287" t="n">
        <f aca="false">'Customer Volumes'!F4</f>
        <v>5126.625</v>
      </c>
      <c r="F4" s="287" t="n">
        <f aca="false">'Customer Volumes'!G4</f>
        <v>5382.95625</v>
      </c>
      <c r="G4" s="287" t="n">
        <f aca="false">'Customer Volumes'!H4</f>
        <v>5652.1040625</v>
      </c>
      <c r="H4" s="215"/>
    </row>
    <row r="5" customFormat="false" ht="15" hidden="false" customHeight="true" outlineLevel="0" collapsed="false">
      <c r="A5" s="43"/>
      <c r="B5" s="288" t="s">
        <v>414</v>
      </c>
      <c r="C5" s="289"/>
      <c r="D5" s="289"/>
      <c r="E5" s="290"/>
      <c r="F5" s="290"/>
      <c r="G5" s="290"/>
      <c r="H5" s="215"/>
    </row>
    <row r="6" customFormat="false" ht="15" hidden="false" customHeight="true" outlineLevel="0" collapsed="false">
      <c r="A6" s="43"/>
      <c r="B6" s="286" t="s">
        <v>415</v>
      </c>
      <c r="C6" s="291" t="n">
        <f aca="false">'Services Calculation'!D28</f>
        <v>96</v>
      </c>
      <c r="D6" s="291" t="n">
        <f aca="false">'Services Calculation'!E28</f>
        <v>100</v>
      </c>
      <c r="E6" s="291" t="n">
        <f aca="false">'Services Calculation'!F28</f>
        <v>104</v>
      </c>
      <c r="F6" s="291" t="n">
        <f aca="false">'Services Calculation'!G28</f>
        <v>108</v>
      </c>
      <c r="G6" s="291" t="n">
        <f aca="false">'Services Calculation'!H28</f>
        <v>113</v>
      </c>
      <c r="H6" s="215"/>
    </row>
    <row r="7" customFormat="false" ht="15" hidden="false" customHeight="true" outlineLevel="0" collapsed="false">
      <c r="A7" s="43"/>
      <c r="B7" s="286" t="s">
        <v>416</v>
      </c>
      <c r="C7" s="291" t="n">
        <f aca="false">'Services Calculation'!D29</f>
        <v>172</v>
      </c>
      <c r="D7" s="291" t="n">
        <f aca="false">'Services Calculation'!E29</f>
        <v>179</v>
      </c>
      <c r="E7" s="291" t="n">
        <f aca="false">'Services Calculation'!F29</f>
        <v>187</v>
      </c>
      <c r="F7" s="291" t="n">
        <f aca="false">'Services Calculation'!G29</f>
        <v>194.629386685225</v>
      </c>
      <c r="G7" s="291" t="n">
        <f aca="false">'Services Calculation'!H29</f>
        <v>204</v>
      </c>
      <c r="H7" s="215"/>
    </row>
    <row r="8" customFormat="false" ht="15" hidden="false" customHeight="true" outlineLevel="0" collapsed="false">
      <c r="A8" s="43"/>
      <c r="B8" s="286" t="s">
        <v>417</v>
      </c>
      <c r="C8" s="292" t="n">
        <f aca="false">C6/16</f>
        <v>6</v>
      </c>
      <c r="D8" s="292" t="n">
        <f aca="false">D6/16</f>
        <v>6.25</v>
      </c>
      <c r="E8" s="292" t="n">
        <f aca="false">E6/16</f>
        <v>6.5</v>
      </c>
      <c r="F8" s="292" t="n">
        <f aca="false">F6/16</f>
        <v>6.75</v>
      </c>
      <c r="G8" s="292" t="n">
        <f aca="false">G6/16</f>
        <v>7.0625</v>
      </c>
      <c r="H8" s="215"/>
    </row>
    <row r="9" customFormat="false" ht="15" hidden="false" customHeight="true" outlineLevel="0" collapsed="false">
      <c r="A9" s="43"/>
      <c r="B9" s="286" t="s">
        <v>418</v>
      </c>
      <c r="C9" s="292" t="n">
        <f aca="false">C7/32</f>
        <v>5.375</v>
      </c>
      <c r="D9" s="292" t="n">
        <f aca="false">D7/32</f>
        <v>5.59375</v>
      </c>
      <c r="E9" s="292" t="n">
        <f aca="false">E7/32</f>
        <v>5.84375</v>
      </c>
      <c r="F9" s="292" t="n">
        <f aca="false">F7/32</f>
        <v>6.08216833391328</v>
      </c>
      <c r="G9" s="292" t="n">
        <f aca="false">G7/32</f>
        <v>6.375</v>
      </c>
      <c r="H9" s="215"/>
    </row>
    <row r="10" customFormat="false" ht="15" hidden="false" customHeight="true" outlineLevel="0" collapsed="false">
      <c r="A10" s="43"/>
      <c r="B10" s="288" t="s">
        <v>419</v>
      </c>
      <c r="C10" s="289"/>
      <c r="D10" s="289"/>
      <c r="E10" s="290"/>
      <c r="F10" s="290"/>
      <c r="G10" s="290"/>
      <c r="H10" s="215"/>
    </row>
    <row r="11" customFormat="false" ht="15" hidden="false" customHeight="true" outlineLevel="0" collapsed="false">
      <c r="A11" s="43"/>
      <c r="B11" s="286" t="s">
        <v>420</v>
      </c>
      <c r="C11" s="293" t="n">
        <v>200</v>
      </c>
      <c r="D11" s="293" t="n">
        <f aca="false">C11</f>
        <v>200</v>
      </c>
      <c r="E11" s="293" t="n">
        <f aca="false">D11</f>
        <v>200</v>
      </c>
      <c r="F11" s="293" t="n">
        <f aca="false">E11</f>
        <v>200</v>
      </c>
      <c r="G11" s="293" t="n">
        <f aca="false">F11</f>
        <v>200</v>
      </c>
      <c r="H11" s="215"/>
    </row>
    <row r="12" customFormat="false" ht="15" hidden="false" customHeight="true" outlineLevel="0" collapsed="false">
      <c r="A12" s="43"/>
      <c r="B12" s="286" t="s">
        <v>421</v>
      </c>
      <c r="C12" s="291" t="n">
        <f aca="false">ROUNDUP(C4/C11, 0)</f>
        <v>24</v>
      </c>
      <c r="D12" s="291" t="n">
        <f aca="false">ROUNDUP(D4/D11, 0)</f>
        <v>25</v>
      </c>
      <c r="E12" s="291" t="n">
        <f aca="false">ROUNDUP(E4/E11, 0)</f>
        <v>26</v>
      </c>
      <c r="F12" s="291" t="n">
        <f aca="false">ROUNDUP(F4/F11, 0)</f>
        <v>27</v>
      </c>
      <c r="G12" s="291" t="n">
        <f aca="false">ROUNDUP(G4/G11, 0)</f>
        <v>29</v>
      </c>
      <c r="H12" s="215"/>
    </row>
    <row r="13" customFormat="false" ht="41.25" hidden="false" customHeight="true" outlineLevel="0" collapsed="false">
      <c r="A13" s="43"/>
      <c r="B13" s="286" t="s">
        <v>422</v>
      </c>
      <c r="C13" s="294" t="n">
        <v>2</v>
      </c>
      <c r="D13" s="294" t="n">
        <f aca="false">C13</f>
        <v>2</v>
      </c>
      <c r="E13" s="294" t="n">
        <f aca="false">D13</f>
        <v>2</v>
      </c>
      <c r="F13" s="294" t="n">
        <f aca="false">E13</f>
        <v>2</v>
      </c>
      <c r="G13" s="294" t="n">
        <f aca="false">F13</f>
        <v>2</v>
      </c>
      <c r="H13" s="229" t="s">
        <v>423</v>
      </c>
    </row>
    <row r="14" customFormat="false" ht="41.25" hidden="false" customHeight="true" outlineLevel="0" collapsed="false">
      <c r="A14" s="43"/>
      <c r="B14" s="286" t="s">
        <v>424</v>
      </c>
      <c r="C14" s="294" t="n">
        <v>2</v>
      </c>
      <c r="D14" s="294" t="n">
        <f aca="false">C14</f>
        <v>2</v>
      </c>
      <c r="E14" s="294" t="n">
        <f aca="false">D14</f>
        <v>2</v>
      </c>
      <c r="F14" s="294" t="n">
        <f aca="false">E14</f>
        <v>2</v>
      </c>
      <c r="G14" s="294" t="n">
        <f aca="false">F14</f>
        <v>2</v>
      </c>
      <c r="H14" s="229" t="s">
        <v>425</v>
      </c>
    </row>
    <row r="15" customFormat="false" ht="15" hidden="false" customHeight="true" outlineLevel="0" collapsed="false">
      <c r="A15" s="43"/>
      <c r="B15" s="286" t="s">
        <v>426</v>
      </c>
      <c r="C15" s="291" t="n">
        <f aca="false">ROUND(C12+C13+C14,0)</f>
        <v>28</v>
      </c>
      <c r="D15" s="291" t="n">
        <f aca="false">ROUND(D12+D13+D14,0)</f>
        <v>29</v>
      </c>
      <c r="E15" s="291" t="n">
        <f aca="false">ROUND(E12+E13+E14,0)</f>
        <v>30</v>
      </c>
      <c r="F15" s="291" t="n">
        <f aca="false">ROUND(F12+F13+F14,0)</f>
        <v>31</v>
      </c>
      <c r="G15" s="291" t="n">
        <f aca="false">ROUND(G12+G13+G14,0)</f>
        <v>33</v>
      </c>
      <c r="H15" s="215"/>
    </row>
    <row r="16" customFormat="false" ht="15" hidden="false" customHeight="true" outlineLevel="0" collapsed="false">
      <c r="B16" s="295"/>
      <c r="C16" s="296"/>
      <c r="D16" s="296"/>
      <c r="E16" s="296"/>
      <c r="F16" s="296"/>
      <c r="G16" s="297"/>
      <c r="H16" s="215"/>
    </row>
    <row r="17" customFormat="false" ht="15" hidden="false" customHeight="true" outlineLevel="0" collapsed="false">
      <c r="B17" s="298" t="s">
        <v>414</v>
      </c>
      <c r="C17" s="299"/>
      <c r="D17" s="299"/>
      <c r="E17" s="300"/>
      <c r="F17" s="300"/>
      <c r="G17" s="301"/>
      <c r="H17" s="215"/>
    </row>
    <row r="18" s="302" customFormat="true" ht="15" hidden="false" customHeight="true" outlineLevel="0" collapsed="false">
      <c r="B18" s="218" t="s">
        <v>427</v>
      </c>
      <c r="C18" s="303" t="n">
        <f aca="false">ROUND(ROUND(MAX(C8,C9),0)*1.42,0)</f>
        <v>9</v>
      </c>
      <c r="D18" s="303" t="n">
        <f aca="false">ROUND(ROUND(MAX(D8,D9),0)*1.42,0)</f>
        <v>9</v>
      </c>
      <c r="E18" s="303" t="n">
        <f aca="false">ROUND(ROUND(MAX(E8,E9),0)*1.42,0)</f>
        <v>10</v>
      </c>
      <c r="F18" s="303" t="n">
        <f aca="false">ROUND(ROUND(MAX(F8,F9),0)*1.42,0)</f>
        <v>10</v>
      </c>
      <c r="G18" s="303" t="n">
        <f aca="false">ROUND(ROUND(MAX(G8,G9),0)*1.42,0)</f>
        <v>10</v>
      </c>
      <c r="H18" s="304" t="s">
        <v>428</v>
      </c>
    </row>
    <row r="19" customFormat="false" ht="15" hidden="false" customHeight="true" outlineLevel="0" collapsed="false">
      <c r="B19" s="305"/>
      <c r="C19" s="306"/>
      <c r="D19" s="306"/>
      <c r="E19" s="306"/>
      <c r="F19" s="306"/>
      <c r="G19" s="307"/>
      <c r="H19" s="215"/>
    </row>
    <row r="20" customFormat="false" ht="15" hidden="false" customHeight="true" outlineLevel="0" collapsed="false">
      <c r="B20" s="308" t="s">
        <v>419</v>
      </c>
      <c r="C20" s="309"/>
      <c r="D20" s="309"/>
      <c r="E20" s="310"/>
      <c r="F20" s="310"/>
      <c r="G20" s="311"/>
      <c r="H20" s="215"/>
    </row>
    <row r="21" customFormat="false" ht="15" hidden="false" customHeight="true" outlineLevel="0" collapsed="false">
      <c r="B21" s="312" t="s">
        <v>429</v>
      </c>
      <c r="C21" s="313" t="n">
        <f aca="false">C15</f>
        <v>28</v>
      </c>
      <c r="D21" s="313" t="n">
        <f aca="false">D15</f>
        <v>29</v>
      </c>
      <c r="E21" s="313" t="n">
        <f aca="false">E15</f>
        <v>30</v>
      </c>
      <c r="F21" s="313" t="n">
        <f aca="false">F15</f>
        <v>31</v>
      </c>
      <c r="G21" s="313" t="n">
        <f aca="false">G15</f>
        <v>33</v>
      </c>
      <c r="H21" s="215"/>
    </row>
    <row r="22" customFormat="false" ht="15" hidden="false" customHeight="true" outlineLevel="0" collapsed="false">
      <c r="B22" s="312" t="s">
        <v>415</v>
      </c>
      <c r="C22" s="313" t="n">
        <f aca="false">C21*2</f>
        <v>56</v>
      </c>
      <c r="D22" s="313" t="n">
        <f aca="false">D21*2</f>
        <v>58</v>
      </c>
      <c r="E22" s="313" t="n">
        <f aca="false">E21*2</f>
        <v>60</v>
      </c>
      <c r="F22" s="313" t="n">
        <f aca="false">F21*2</f>
        <v>62</v>
      </c>
      <c r="G22" s="313" t="n">
        <f aca="false">G21*2</f>
        <v>66</v>
      </c>
      <c r="H22" s="215" t="s">
        <v>430</v>
      </c>
    </row>
    <row r="23" customFormat="false" ht="15" hidden="false" customHeight="true" outlineLevel="0" collapsed="false">
      <c r="B23" s="215" t="s">
        <v>431</v>
      </c>
      <c r="C23" s="313" t="n">
        <f aca="false">C22*8</f>
        <v>448</v>
      </c>
      <c r="D23" s="313" t="n">
        <f aca="false">D22*8</f>
        <v>464</v>
      </c>
      <c r="E23" s="313" t="n">
        <f aca="false">E22*8</f>
        <v>480</v>
      </c>
      <c r="F23" s="313" t="n">
        <f aca="false">F22*8</f>
        <v>496</v>
      </c>
      <c r="G23" s="313" t="n">
        <f aca="false">G22*8</f>
        <v>528</v>
      </c>
      <c r="H23" s="215" t="s">
        <v>432</v>
      </c>
    </row>
    <row r="24" customFormat="false" ht="15" hidden="false" customHeight="true" outlineLevel="0" collapsed="false">
      <c r="B24" s="215" t="s">
        <v>433</v>
      </c>
      <c r="C24" s="313" t="n">
        <f aca="false">C22*8</f>
        <v>448</v>
      </c>
      <c r="D24" s="313" t="n">
        <f aca="false">D22*8</f>
        <v>464</v>
      </c>
      <c r="E24" s="313" t="n">
        <f aca="false">E22*8</f>
        <v>480</v>
      </c>
      <c r="F24" s="313" t="n">
        <f aca="false">F22*8</f>
        <v>496</v>
      </c>
      <c r="G24" s="313" t="n">
        <f aca="false">G22*8</f>
        <v>528</v>
      </c>
      <c r="H24" s="215" t="s">
        <v>432</v>
      </c>
    </row>
    <row r="25" customFormat="false" ht="15" hidden="false" customHeight="true" outlineLevel="0" collapsed="false">
      <c r="B25" s="215" t="s">
        <v>434</v>
      </c>
      <c r="C25" s="313" t="n">
        <f aca="false">C22*4</f>
        <v>224</v>
      </c>
      <c r="D25" s="313" t="n">
        <f aca="false">D22*4</f>
        <v>232</v>
      </c>
      <c r="E25" s="313" t="n">
        <f aca="false">E22*4</f>
        <v>240</v>
      </c>
      <c r="F25" s="313" t="n">
        <f aca="false">F22*4</f>
        <v>248</v>
      </c>
      <c r="G25" s="313" t="n">
        <f aca="false">G22*4</f>
        <v>264</v>
      </c>
      <c r="H25" s="215" t="s">
        <v>435</v>
      </c>
    </row>
    <row r="26" customFormat="false" ht="15" hidden="false" customHeight="true" outlineLevel="0" collapsed="false">
      <c r="B26" s="295"/>
      <c r="C26" s="296"/>
      <c r="D26" s="296"/>
      <c r="E26" s="296"/>
      <c r="F26" s="296"/>
      <c r="G26" s="297"/>
      <c r="H26" s="215"/>
    </row>
    <row r="27" customFormat="false" ht="15" hidden="false" customHeight="true" outlineLevel="0" collapsed="false">
      <c r="B27" s="308" t="s">
        <v>436</v>
      </c>
      <c r="C27" s="314" t="str">
        <f aca="false">'Customer Volumes'!J39</f>
        <v>Yes</v>
      </c>
      <c r="D27" s="314"/>
      <c r="E27" s="314"/>
      <c r="F27" s="314"/>
      <c r="G27" s="314"/>
      <c r="H27" s="215"/>
    </row>
    <row r="28" customFormat="false" ht="15" hidden="false" customHeight="true" outlineLevel="0" collapsed="false">
      <c r="B28" s="312" t="s">
        <v>429</v>
      </c>
      <c r="C28" s="313" t="n">
        <f aca="false">IF(C27="No", 0, C21)</f>
        <v>28</v>
      </c>
      <c r="D28" s="313" t="n">
        <f aca="false">IF(C27="No", 0, D21)</f>
        <v>29</v>
      </c>
      <c r="E28" s="313" t="n">
        <f aca="false">IF(C27="No", 0, E21)</f>
        <v>30</v>
      </c>
      <c r="F28" s="313" t="n">
        <f aca="false">IF(C27="No", 0, F21)</f>
        <v>31</v>
      </c>
      <c r="G28" s="313" t="n">
        <f aca="false">IF(C27="No", 0, G21)</f>
        <v>33</v>
      </c>
      <c r="H28" s="267" t="s">
        <v>437</v>
      </c>
    </row>
    <row r="29" customFormat="false" ht="15" hidden="false" customHeight="true" outlineLevel="0" collapsed="false">
      <c r="B29" s="312" t="s">
        <v>415</v>
      </c>
      <c r="C29" s="313" t="n">
        <f aca="false">IF(C27="No", 0, C22)</f>
        <v>56</v>
      </c>
      <c r="D29" s="313" t="n">
        <f aca="false">IF(C27="No", 0, D22)</f>
        <v>58</v>
      </c>
      <c r="E29" s="313" t="n">
        <f aca="false">IF(C27="No", 0, E22)</f>
        <v>60</v>
      </c>
      <c r="F29" s="313" t="n">
        <f aca="false">IF(C27="No", 0, F22)</f>
        <v>62</v>
      </c>
      <c r="G29" s="313" t="n">
        <f aca="false">IF(C27="No", 0, G22)</f>
        <v>66</v>
      </c>
      <c r="H29" s="267"/>
    </row>
    <row r="30" customFormat="false" ht="15" hidden="false" customHeight="true" outlineLevel="0" collapsed="false">
      <c r="B30" s="215" t="s">
        <v>438</v>
      </c>
      <c r="C30" s="313" t="n">
        <f aca="false">C29*8</f>
        <v>448</v>
      </c>
      <c r="D30" s="313" t="n">
        <f aca="false">D29*8</f>
        <v>464</v>
      </c>
      <c r="E30" s="313" t="n">
        <f aca="false">E29*8</f>
        <v>480</v>
      </c>
      <c r="F30" s="313" t="n">
        <f aca="false">F29*8</f>
        <v>496</v>
      </c>
      <c r="G30" s="313" t="n">
        <f aca="false">G29*8</f>
        <v>528</v>
      </c>
      <c r="H30" s="267"/>
    </row>
    <row r="31" customFormat="false" ht="15" hidden="false" customHeight="true" outlineLevel="0" collapsed="false">
      <c r="B31" s="215" t="s">
        <v>439</v>
      </c>
      <c r="C31" s="313" t="n">
        <f aca="false">C29*8</f>
        <v>448</v>
      </c>
      <c r="D31" s="313" t="n">
        <f aca="false">D29*8</f>
        <v>464</v>
      </c>
      <c r="E31" s="313" t="n">
        <f aca="false">E29*8</f>
        <v>480</v>
      </c>
      <c r="F31" s="313" t="n">
        <f aca="false">F29*8</f>
        <v>496</v>
      </c>
      <c r="G31" s="313" t="n">
        <f aca="false">G29*8</f>
        <v>528</v>
      </c>
      <c r="H31" s="267"/>
    </row>
    <row r="32" customFormat="false" ht="15" hidden="false" customHeight="true" outlineLevel="0" collapsed="false">
      <c r="B32" s="215" t="s">
        <v>440</v>
      </c>
      <c r="C32" s="313" t="n">
        <f aca="false">C29*4</f>
        <v>224</v>
      </c>
      <c r="D32" s="313" t="n">
        <f aca="false">D29*4</f>
        <v>232</v>
      </c>
      <c r="E32" s="313" t="n">
        <f aca="false">E29*4</f>
        <v>240</v>
      </c>
      <c r="F32" s="313" t="n">
        <f aca="false">F29*4</f>
        <v>248</v>
      </c>
      <c r="G32" s="313" t="n">
        <f aca="false">G29*4</f>
        <v>264</v>
      </c>
      <c r="H32" s="267"/>
    </row>
    <row r="33" customFormat="false" ht="15" hidden="false" customHeight="true" outlineLevel="0" collapsed="false">
      <c r="H33" s="215"/>
    </row>
    <row r="34" customFormat="false" ht="15" hidden="false" customHeight="true" outlineLevel="0" collapsed="false">
      <c r="B34" s="308" t="s">
        <v>202</v>
      </c>
      <c r="C34" s="309"/>
      <c r="D34" s="309"/>
      <c r="E34" s="310"/>
      <c r="F34" s="310"/>
      <c r="G34" s="311"/>
      <c r="H34" s="215"/>
    </row>
    <row r="35" customFormat="false" ht="15" hidden="false" customHeight="true" outlineLevel="0" collapsed="false">
      <c r="B35" s="312" t="s">
        <v>441</v>
      </c>
      <c r="C35" s="313" t="n">
        <f aca="false">CEILING('Data size'!D30,100)</f>
        <v>2100</v>
      </c>
      <c r="D35" s="313" t="n">
        <f aca="false">CEILING('Data size'!H30,100)</f>
        <v>2300</v>
      </c>
      <c r="E35" s="313" t="n">
        <f aca="false">CEILING('Data size'!L30,100)</f>
        <v>2500</v>
      </c>
      <c r="F35" s="313" t="n">
        <f aca="false">CEILING('Data size'!P30,100)</f>
        <v>2800</v>
      </c>
      <c r="G35" s="313" t="n">
        <f aca="false">CEILING('Data size'!T30,100)</f>
        <v>3000</v>
      </c>
      <c r="H35" s="215" t="s">
        <v>442</v>
      </c>
    </row>
    <row r="36" customFormat="false" ht="15" hidden="false" customHeight="true" outlineLevel="0" collapsed="false">
      <c r="B36" s="215" t="s">
        <v>443</v>
      </c>
      <c r="C36" s="313" t="n">
        <f aca="false">CEILING('DMS size'!D21,100)</f>
        <v>5900</v>
      </c>
      <c r="D36" s="313" t="n">
        <f aca="false">CEILING('DMS size'!H21,100)</f>
        <v>6500</v>
      </c>
      <c r="E36" s="313" t="n">
        <f aca="false">CEILING('DMS size'!L21,100)</f>
        <v>7200</v>
      </c>
      <c r="F36" s="313" t="n">
        <f aca="false">CEILING('DMS size'!P21,100)</f>
        <v>7900</v>
      </c>
      <c r="G36" s="313" t="n">
        <f aca="false">CEILING('DMS size'!T21,100)</f>
        <v>8700</v>
      </c>
      <c r="H36" s="215" t="s">
        <v>442</v>
      </c>
    </row>
  </sheetData>
  <sheetProtection algorithmName="SHA-512" hashValue="JiH6UHP1jxJu9Wkcfw+41F/6Xl2obHKo2zGAjhCdV+ZCzTsL2VjOs5694Z4Qc0ad1n6TDeYLzAAK3XvKr6u7RQ==" saltValue="cUsYprexWJU1pqERO+ywGQ==" spinCount="100000" sheet="true" objects="true" scenarios="true"/>
  <mergeCells count="2">
    <mergeCell ref="C27:G27"/>
    <mergeCell ref="H28:H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1"/>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selection pane="topLeft" activeCell="B3" activeCellId="0" sqref="B3"/>
    </sheetView>
  </sheetViews>
  <sheetFormatPr defaultColWidth="9.00390625" defaultRowHeight="15" zeroHeight="false" outlineLevelRow="0" outlineLevelCol="0"/>
  <cols>
    <col collapsed="false" customWidth="false" hidden="false" outlineLevel="0" max="1" min="1" style="315" width="9"/>
    <col collapsed="false" customWidth="true" hidden="false" outlineLevel="0" max="2" min="2" style="315" width="30.57"/>
    <col collapsed="false" customWidth="true" hidden="false" outlineLevel="0" max="8" min="3" style="315" width="9.42"/>
    <col collapsed="false" customWidth="false" hidden="false" outlineLevel="0" max="9" min="9" style="315" width="9"/>
    <col collapsed="false" customWidth="true" hidden="false" outlineLevel="0" max="10" min="10" style="315" width="26.86"/>
    <col collapsed="false" customWidth="false" hidden="false" outlineLevel="0" max="16384" min="11" style="315" width="9"/>
  </cols>
  <sheetData>
    <row r="2" s="80" customFormat="true" ht="15" hidden="false" customHeight="true" outlineLevel="0" collapsed="false">
      <c r="B2" s="45" t="s">
        <v>154</v>
      </c>
      <c r="C2" s="45" t="s">
        <v>70</v>
      </c>
      <c r="D2" s="45" t="s">
        <v>71</v>
      </c>
      <c r="E2" s="45" t="s">
        <v>72</v>
      </c>
      <c r="F2" s="45" t="s">
        <v>73</v>
      </c>
      <c r="G2" s="45" t="s">
        <v>74</v>
      </c>
    </row>
    <row r="3" s="80" customFormat="true" ht="15" hidden="false" customHeight="true" outlineLevel="0" collapsed="false">
      <c r="B3" s="316" t="s">
        <v>78</v>
      </c>
      <c r="C3" s="317" t="n">
        <f aca="false">'Customer Volumes'!D3</f>
        <v>15500</v>
      </c>
      <c r="D3" s="317" t="n">
        <f aca="false">'Customer Volumes'!E3</f>
        <v>16275</v>
      </c>
      <c r="E3" s="317" t="n">
        <f aca="false">'Customer Volumes'!F3</f>
        <v>17088.75</v>
      </c>
      <c r="F3" s="317" t="n">
        <f aca="false">'Customer Volumes'!G3</f>
        <v>17943.1875</v>
      </c>
      <c r="G3" s="317" t="n">
        <f aca="false">'Customer Volumes'!H3</f>
        <v>18840.346875</v>
      </c>
    </row>
    <row r="4" s="80" customFormat="true" ht="15" hidden="false" customHeight="true" outlineLevel="0" collapsed="false">
      <c r="B4" s="316" t="s">
        <v>80</v>
      </c>
      <c r="C4" s="317" t="n">
        <f aca="false">'Customer Volumes'!D4</f>
        <v>4650</v>
      </c>
      <c r="D4" s="317" t="n">
        <f aca="false">'Customer Volumes'!E4</f>
        <v>4882.5</v>
      </c>
      <c r="E4" s="317" t="n">
        <f aca="false">'Customer Volumes'!F4</f>
        <v>5126.625</v>
      </c>
      <c r="F4" s="317" t="n">
        <f aca="false">'Customer Volumes'!G4</f>
        <v>5382.95625</v>
      </c>
      <c r="G4" s="317" t="n">
        <f aca="false">'Customer Volumes'!H4</f>
        <v>5652.1040625</v>
      </c>
    </row>
    <row r="6" customFormat="false" ht="15" hidden="false" customHeight="true" outlineLevel="0" collapsed="false">
      <c r="B6" s="45" t="s">
        <v>444</v>
      </c>
      <c r="C6" s="45"/>
      <c r="D6" s="45"/>
      <c r="E6" s="45"/>
      <c r="F6" s="45"/>
      <c r="G6" s="45"/>
      <c r="H6" s="45"/>
    </row>
    <row r="7" customFormat="false" ht="15" hidden="false" customHeight="true" outlineLevel="0" collapsed="false">
      <c r="B7" s="318" t="s">
        <v>445</v>
      </c>
      <c r="C7" s="318"/>
      <c r="D7" s="318"/>
      <c r="E7" s="318"/>
      <c r="F7" s="318"/>
      <c r="G7" s="318"/>
      <c r="H7" s="318"/>
    </row>
    <row r="8" customFormat="false" ht="15" hidden="false" customHeight="true" outlineLevel="0" collapsed="false">
      <c r="B8" s="319" t="s">
        <v>270</v>
      </c>
      <c r="C8" s="319" t="n">
        <v>50</v>
      </c>
      <c r="D8" s="319" t="n">
        <v>50</v>
      </c>
      <c r="E8" s="319" t="n">
        <v>50</v>
      </c>
      <c r="F8" s="319" t="n">
        <v>50</v>
      </c>
      <c r="G8" s="319" t="n">
        <v>50</v>
      </c>
      <c r="H8" s="320" t="s">
        <v>215</v>
      </c>
    </row>
    <row r="9" customFormat="false" ht="15" hidden="false" customHeight="true" outlineLevel="0" collapsed="false">
      <c r="B9" s="319" t="s">
        <v>446</v>
      </c>
      <c r="C9" s="319" t="n">
        <v>1</v>
      </c>
      <c r="D9" s="319" t="n">
        <v>1</v>
      </c>
      <c r="E9" s="319" t="n">
        <v>1</v>
      </c>
      <c r="F9" s="319" t="n">
        <v>1</v>
      </c>
      <c r="G9" s="319" t="n">
        <v>1</v>
      </c>
      <c r="H9" s="320" t="s">
        <v>447</v>
      </c>
    </row>
    <row r="10" customFormat="false" ht="15" hidden="false" customHeight="true" outlineLevel="0" collapsed="false">
      <c r="B10" s="319" t="s">
        <v>448</v>
      </c>
      <c r="C10" s="319" t="n">
        <v>10</v>
      </c>
      <c r="D10" s="319" t="n">
        <v>10</v>
      </c>
      <c r="E10" s="319" t="n">
        <v>10</v>
      </c>
      <c r="F10" s="319" t="n">
        <v>10</v>
      </c>
      <c r="G10" s="319" t="n">
        <v>10</v>
      </c>
      <c r="H10" s="320" t="s">
        <v>447</v>
      </c>
    </row>
    <row r="11" customFormat="false" ht="15" hidden="false" customHeight="true" outlineLevel="0" collapsed="false">
      <c r="B11" s="319" t="s">
        <v>449</v>
      </c>
      <c r="C11" s="319" t="n">
        <f aca="false">C9+C10</f>
        <v>11</v>
      </c>
      <c r="D11" s="319" t="n">
        <f aca="false">D9+D10</f>
        <v>11</v>
      </c>
      <c r="E11" s="319" t="n">
        <f aca="false">E9+E10</f>
        <v>11</v>
      </c>
      <c r="F11" s="319" t="n">
        <f aca="false">F9+F10</f>
        <v>11</v>
      </c>
      <c r="G11" s="319" t="n">
        <f aca="false">G9+G10</f>
        <v>11</v>
      </c>
      <c r="H11" s="320" t="s">
        <v>447</v>
      </c>
    </row>
    <row r="12" customFormat="false" ht="15" hidden="false" customHeight="true" outlineLevel="0" collapsed="false">
      <c r="B12" s="319" t="s">
        <v>450</v>
      </c>
      <c r="C12" s="319" t="n">
        <v>5000</v>
      </c>
      <c r="D12" s="319" t="n">
        <v>5000</v>
      </c>
      <c r="E12" s="319" t="n">
        <v>5000</v>
      </c>
      <c r="F12" s="319" t="n">
        <v>5000</v>
      </c>
      <c r="G12" s="319" t="n">
        <v>5000</v>
      </c>
      <c r="H12" s="320" t="s">
        <v>215</v>
      </c>
    </row>
    <row r="13" customFormat="false" ht="15" hidden="false" customHeight="true" outlineLevel="0" collapsed="false">
      <c r="B13" s="319" t="s">
        <v>451</v>
      </c>
      <c r="C13" s="321" t="n">
        <v>0.999</v>
      </c>
      <c r="D13" s="321" t="n">
        <v>0.999</v>
      </c>
      <c r="E13" s="321" t="n">
        <v>0.999</v>
      </c>
      <c r="F13" s="321" t="n">
        <v>0.999</v>
      </c>
      <c r="G13" s="321" t="n">
        <v>0.999</v>
      </c>
      <c r="H13" s="320"/>
    </row>
    <row r="14" customFormat="false" ht="15" hidden="false" customHeight="true" outlineLevel="0" collapsed="false">
      <c r="B14" s="319" t="s">
        <v>452</v>
      </c>
      <c r="C14" s="322" t="n">
        <f aca="false">C3*(1-C13)*C12</f>
        <v>77500.0000000001</v>
      </c>
      <c r="D14" s="322" t="n">
        <f aca="false">D3*(1-D13)*D12</f>
        <v>81375.0000000001</v>
      </c>
      <c r="E14" s="322" t="n">
        <f aca="false">E3*(1-E13)*E12</f>
        <v>85443.7500000001</v>
      </c>
      <c r="F14" s="322" t="n">
        <f aca="false">F3*(1-F13)*F12</f>
        <v>89715.9375000001</v>
      </c>
      <c r="G14" s="322" t="n">
        <f aca="false">G3*(1-G13)*G12</f>
        <v>94201.7343750001</v>
      </c>
      <c r="H14" s="320" t="s">
        <v>215</v>
      </c>
    </row>
    <row r="15" customFormat="false" ht="15" hidden="false" customHeight="true" outlineLevel="0" collapsed="false">
      <c r="B15" s="319" t="s">
        <v>453</v>
      </c>
      <c r="C15" s="319" t="n">
        <f aca="false">C4*C8+C14</f>
        <v>310000</v>
      </c>
      <c r="D15" s="319" t="n">
        <f aca="false">D4*D8+D14</f>
        <v>325500</v>
      </c>
      <c r="E15" s="319" t="n">
        <f aca="false">E4*E8+E14</f>
        <v>341775</v>
      </c>
      <c r="F15" s="319" t="n">
        <f aca="false">F4*F8+F14</f>
        <v>358863.75</v>
      </c>
      <c r="G15" s="319" t="n">
        <f aca="false">G4*G8+G14</f>
        <v>376806.9375</v>
      </c>
      <c r="H15" s="320" t="s">
        <v>215</v>
      </c>
    </row>
    <row r="16" customFormat="false" ht="15" hidden="false" customHeight="true" outlineLevel="0" collapsed="false">
      <c r="B16" s="319" t="s">
        <v>454</v>
      </c>
      <c r="C16" s="323" t="n">
        <f aca="false">C15*8/C11</f>
        <v>225454.545454546</v>
      </c>
      <c r="D16" s="323" t="n">
        <f aca="false">D15*8/D11</f>
        <v>236727.272727273</v>
      </c>
      <c r="E16" s="323" t="n">
        <f aca="false">E15*8/E11</f>
        <v>248563.636363636</v>
      </c>
      <c r="F16" s="323" t="n">
        <f aca="false">F15*8/F11</f>
        <v>260991.818181818</v>
      </c>
      <c r="G16" s="323" t="n">
        <f aca="false">G15*8/G11</f>
        <v>274041.409090909</v>
      </c>
      <c r="H16" s="320" t="s">
        <v>455</v>
      </c>
    </row>
    <row r="17" customFormat="false" ht="15" hidden="false" customHeight="true" outlineLevel="0" collapsed="false">
      <c r="B17" s="318" t="s">
        <v>456</v>
      </c>
      <c r="C17" s="318"/>
      <c r="D17" s="318"/>
      <c r="E17" s="318"/>
      <c r="F17" s="318"/>
      <c r="G17" s="318"/>
      <c r="H17" s="318"/>
    </row>
    <row r="18" customFormat="false" ht="15" hidden="false" customHeight="true" outlineLevel="0" collapsed="false">
      <c r="B18" s="319" t="s">
        <v>270</v>
      </c>
      <c r="C18" s="319" t="n">
        <v>2000</v>
      </c>
      <c r="D18" s="319" t="n">
        <v>2000</v>
      </c>
      <c r="E18" s="319" t="n">
        <v>2000</v>
      </c>
      <c r="F18" s="319" t="n">
        <v>2000</v>
      </c>
      <c r="G18" s="319" t="n">
        <v>2000</v>
      </c>
      <c r="H18" s="320" t="s">
        <v>215</v>
      </c>
    </row>
    <row r="19" customFormat="false" ht="15" hidden="false" customHeight="true" outlineLevel="0" collapsed="false">
      <c r="B19" s="319" t="s">
        <v>446</v>
      </c>
      <c r="C19" s="319" t="n">
        <v>4</v>
      </c>
      <c r="D19" s="319" t="n">
        <v>4</v>
      </c>
      <c r="E19" s="319" t="n">
        <v>4</v>
      </c>
      <c r="F19" s="319" t="n">
        <v>4</v>
      </c>
      <c r="G19" s="319" t="n">
        <v>4</v>
      </c>
      <c r="H19" s="320" t="s">
        <v>447</v>
      </c>
    </row>
    <row r="20" customFormat="false" ht="15" hidden="false" customHeight="true" outlineLevel="0" collapsed="false">
      <c r="B20" s="319" t="s">
        <v>448</v>
      </c>
      <c r="C20" s="319" t="n">
        <v>15</v>
      </c>
      <c r="D20" s="319" t="n">
        <v>15</v>
      </c>
      <c r="E20" s="319" t="n">
        <v>15</v>
      </c>
      <c r="F20" s="319" t="n">
        <v>15</v>
      </c>
      <c r="G20" s="319" t="n">
        <v>15</v>
      </c>
      <c r="H20" s="320" t="s">
        <v>447</v>
      </c>
    </row>
    <row r="21" customFormat="false" ht="15" hidden="false" customHeight="true" outlineLevel="0" collapsed="false">
      <c r="B21" s="319" t="s">
        <v>449</v>
      </c>
      <c r="C21" s="323" t="n">
        <f aca="false">C19+C20</f>
        <v>19</v>
      </c>
      <c r="D21" s="323" t="n">
        <f aca="false">D19+D20</f>
        <v>19</v>
      </c>
      <c r="E21" s="323" t="n">
        <f aca="false">E19+E20</f>
        <v>19</v>
      </c>
      <c r="F21" s="323" t="n">
        <f aca="false">F19+F20</f>
        <v>19</v>
      </c>
      <c r="G21" s="323" t="n">
        <f aca="false">G19+G20</f>
        <v>19</v>
      </c>
      <c r="H21" s="320" t="s">
        <v>447</v>
      </c>
    </row>
    <row r="22" customFormat="false" ht="15" hidden="false" customHeight="true" outlineLevel="0" collapsed="false">
      <c r="B22" s="319" t="s">
        <v>450</v>
      </c>
      <c r="C22" s="319" t="n">
        <v>1000</v>
      </c>
      <c r="D22" s="319" t="n">
        <v>1000</v>
      </c>
      <c r="E22" s="319" t="n">
        <v>1000</v>
      </c>
      <c r="F22" s="319" t="n">
        <v>1000</v>
      </c>
      <c r="G22" s="319" t="n">
        <v>1000</v>
      </c>
      <c r="H22" s="320" t="s">
        <v>215</v>
      </c>
    </row>
    <row r="23" customFormat="false" ht="15" hidden="false" customHeight="true" outlineLevel="0" collapsed="false">
      <c r="B23" s="319" t="s">
        <v>451</v>
      </c>
      <c r="C23" s="321" t="n">
        <v>0.999</v>
      </c>
      <c r="D23" s="321" t="n">
        <v>0.999</v>
      </c>
      <c r="E23" s="321" t="n">
        <v>0.999</v>
      </c>
      <c r="F23" s="321" t="n">
        <v>0.999</v>
      </c>
      <c r="G23" s="321" t="n">
        <v>0.999</v>
      </c>
      <c r="H23" s="320"/>
    </row>
    <row r="24" customFormat="false" ht="15" hidden="false" customHeight="true" outlineLevel="0" collapsed="false">
      <c r="B24" s="319" t="s">
        <v>452</v>
      </c>
      <c r="C24" s="322" t="n">
        <f aca="false">C22*(1-C23)*C3</f>
        <v>15500</v>
      </c>
      <c r="D24" s="322" t="n">
        <f aca="false">D22*(1-D23)*D3</f>
        <v>16275</v>
      </c>
      <c r="E24" s="322" t="n">
        <f aca="false">E22*(1-E23)*E3</f>
        <v>17088.75</v>
      </c>
      <c r="F24" s="322" t="n">
        <f aca="false">F22*(1-F23)*F3</f>
        <v>17943.1875</v>
      </c>
      <c r="G24" s="322" t="n">
        <f aca="false">G22*(1-G23)*G3</f>
        <v>18840.346875</v>
      </c>
      <c r="H24" s="320" t="s">
        <v>215</v>
      </c>
    </row>
    <row r="25" customFormat="false" ht="15" hidden="false" customHeight="true" outlineLevel="0" collapsed="false">
      <c r="B25" s="319" t="s">
        <v>453</v>
      </c>
      <c r="C25" s="319" t="n">
        <f aca="false">C4*C18+C24</f>
        <v>9315500</v>
      </c>
      <c r="D25" s="319" t="n">
        <f aca="false">D4*D18+D24</f>
        <v>9781275</v>
      </c>
      <c r="E25" s="319" t="n">
        <f aca="false">E4*E18+E24</f>
        <v>10270338.75</v>
      </c>
      <c r="F25" s="319" t="n">
        <f aca="false">F4*F18+F24</f>
        <v>10783855.6875</v>
      </c>
      <c r="G25" s="319" t="n">
        <f aca="false">G4*G18+G24</f>
        <v>11323048.471875</v>
      </c>
      <c r="H25" s="320" t="s">
        <v>215</v>
      </c>
    </row>
    <row r="26" customFormat="false" ht="15" hidden="false" customHeight="true" outlineLevel="0" collapsed="false">
      <c r="B26" s="319" t="s">
        <v>454</v>
      </c>
      <c r="C26" s="323" t="n">
        <f aca="false">C25*8/C21</f>
        <v>3922315.78947368</v>
      </c>
      <c r="D26" s="323" t="n">
        <f aca="false">D25*8/D21</f>
        <v>4118431.57894737</v>
      </c>
      <c r="E26" s="323" t="n">
        <f aca="false">E25*8/E21</f>
        <v>4324353.15789474</v>
      </c>
      <c r="F26" s="323" t="n">
        <f aca="false">F25*8/F21</f>
        <v>4540570.81578947</v>
      </c>
      <c r="G26" s="323" t="n">
        <f aca="false">G25*8/G21</f>
        <v>4767599.35657895</v>
      </c>
      <c r="H26" s="320" t="s">
        <v>455</v>
      </c>
    </row>
    <row r="27" customFormat="false" ht="15" hidden="false" customHeight="true" outlineLevel="0" collapsed="false">
      <c r="B27" s="318" t="s">
        <v>201</v>
      </c>
      <c r="C27" s="318"/>
      <c r="D27" s="318"/>
      <c r="E27" s="318"/>
      <c r="F27" s="318"/>
      <c r="G27" s="318"/>
      <c r="H27" s="318"/>
    </row>
    <row r="28" customFormat="false" ht="15" hidden="false" customHeight="true" outlineLevel="0" collapsed="false">
      <c r="B28" s="324" t="s">
        <v>454</v>
      </c>
      <c r="C28" s="325" t="n">
        <f aca="false">C16+C26</f>
        <v>4147770.33492823</v>
      </c>
      <c r="D28" s="325" t="n">
        <f aca="false">D16+D26</f>
        <v>4355158.85167464</v>
      </c>
      <c r="E28" s="325" t="n">
        <f aca="false">E16+E26</f>
        <v>4572916.79425837</v>
      </c>
      <c r="F28" s="325" t="n">
        <f aca="false">F16+F26</f>
        <v>4801562.63397129</v>
      </c>
      <c r="G28" s="325" t="n">
        <f aca="false">G16+G26</f>
        <v>5041640.76566986</v>
      </c>
      <c r="H28" s="320" t="s">
        <v>455</v>
      </c>
    </row>
    <row r="29" customFormat="false" ht="15" hidden="false" customHeight="true" outlineLevel="0" collapsed="false">
      <c r="B29" s="324"/>
      <c r="C29" s="325" t="n">
        <f aca="false">C28/1024</f>
        <v>4050.55696770335</v>
      </c>
      <c r="D29" s="325" t="n">
        <f aca="false">D28/1024</f>
        <v>4253.08481608852</v>
      </c>
      <c r="E29" s="325" t="n">
        <f aca="false">E28/1024</f>
        <v>4465.73905689294</v>
      </c>
      <c r="F29" s="325" t="n">
        <f aca="false">F28/1024</f>
        <v>4689.02600973759</v>
      </c>
      <c r="G29" s="325" t="n">
        <f aca="false">G28/1024</f>
        <v>4923.47731022447</v>
      </c>
      <c r="H29" s="320" t="s">
        <v>457</v>
      </c>
    </row>
    <row r="30" customFormat="false" ht="15" hidden="false" customHeight="true" outlineLevel="0" collapsed="false">
      <c r="B30" s="324"/>
      <c r="C30" s="325" t="n">
        <f aca="false">C29/1024</f>
        <v>3.9556220387728</v>
      </c>
      <c r="D30" s="325" t="n">
        <f aca="false">D29/1024</f>
        <v>4.15340314071144</v>
      </c>
      <c r="E30" s="325" t="n">
        <f aca="false">E29/1024</f>
        <v>4.36107329774702</v>
      </c>
      <c r="F30" s="325" t="n">
        <f aca="false">F29/1024</f>
        <v>4.57912696263437</v>
      </c>
      <c r="G30" s="325" t="n">
        <f aca="false">G29/1024</f>
        <v>4.80808331076608</v>
      </c>
      <c r="H30" s="320" t="s">
        <v>458</v>
      </c>
    </row>
    <row r="31" customFormat="false" ht="15.75" hidden="false" customHeight="true" outlineLevel="0" collapsed="false"/>
  </sheetData>
  <sheetProtection algorithmName="SHA-512" hashValue="rIcRLOVUM6LmGBEen8WYSOw5TV3oywMWmFffKMtQYrrTc3DdjHA1ulyvl3dURGdzdqRcNsh28FaBTbZyVY/x6Q==" saltValue="h1oQ7QA5rEeHfLXRmk+RLQ==" spinCount="100000" sheet="true" objects="true" scenarios="true"/>
  <mergeCells count="5">
    <mergeCell ref="B6:H6"/>
    <mergeCell ref="B7:H7"/>
    <mergeCell ref="B17:H17"/>
    <mergeCell ref="B27:H27"/>
    <mergeCell ref="B28:B30"/>
  </mergeCells>
  <printOptions headings="false" gridLines="false" gridLinesSet="true" horizontalCentered="false" verticalCentered="false"/>
  <pageMargins left="0.699305555555556" right="0.699305555555556"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N13" activeCellId="0" sqref="N13"/>
    </sheetView>
  </sheetViews>
  <sheetFormatPr defaultColWidth="8.67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466</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41.25" hidden="false" customHeight="true" outlineLevel="0" collapsed="false">
      <c r="A12" s="12"/>
      <c r="B12" s="331" t="n">
        <f aca="false">B10+1</f>
        <v>7</v>
      </c>
      <c r="C12" s="335" t="s">
        <v>469</v>
      </c>
      <c r="D12" s="12"/>
      <c r="E12" s="12"/>
      <c r="F12" s="12"/>
      <c r="G12" s="12"/>
    </row>
    <row r="13" customFormat="false" ht="27.75" hidden="false" customHeight="true" outlineLevel="0" collapsed="false">
      <c r="A13" s="12"/>
      <c r="B13" s="331" t="n">
        <f aca="false">B12+1</f>
        <v>8</v>
      </c>
      <c r="C13" s="278" t="s">
        <v>470</v>
      </c>
      <c r="D13" s="12"/>
      <c r="E13" s="12"/>
      <c r="F13" s="12"/>
      <c r="G13" s="12"/>
    </row>
    <row r="14" customFormat="false" ht="15" hidden="false" customHeight="true" outlineLevel="0" collapsed="false">
      <c r="A14" s="12"/>
      <c r="B14" s="336" t="s">
        <v>471</v>
      </c>
      <c r="C14" s="336"/>
      <c r="D14" s="12"/>
      <c r="E14" s="12"/>
      <c r="F14" s="12"/>
      <c r="G14" s="12"/>
    </row>
    <row r="15" customFormat="false" ht="41.25" hidden="false" customHeight="true" outlineLevel="0" collapsed="false">
      <c r="A15" s="12"/>
      <c r="B15" s="331" t="n">
        <f aca="false">B13+1</f>
        <v>9</v>
      </c>
      <c r="C15" s="335" t="s">
        <v>472</v>
      </c>
      <c r="D15" s="12"/>
      <c r="E15" s="12"/>
      <c r="F15" s="12"/>
      <c r="G15" s="12"/>
    </row>
    <row r="16" customFormat="false" ht="15" hidden="false" customHeight="true" outlineLevel="0" collapsed="false">
      <c r="A16" s="12"/>
      <c r="B16" s="337" t="s">
        <v>380</v>
      </c>
      <c r="C16" s="337"/>
      <c r="D16" s="12"/>
      <c r="E16" s="12"/>
      <c r="F16" s="12"/>
      <c r="G16" s="12"/>
    </row>
    <row r="17" customFormat="false" ht="27.75" hidden="false" customHeight="true" outlineLevel="0" collapsed="false">
      <c r="A17" s="12"/>
      <c r="B17" s="331" t="n">
        <f aca="false">B15+1</f>
        <v>10</v>
      </c>
      <c r="C17" s="335" t="s">
        <v>473</v>
      </c>
      <c r="D17" s="12"/>
      <c r="E17" s="12"/>
      <c r="F17" s="12"/>
      <c r="G17" s="12"/>
    </row>
    <row r="18" customFormat="false" ht="15" hidden="false" customHeight="true" outlineLevel="0" collapsed="false">
      <c r="A18" s="12"/>
      <c r="B18" s="337" t="s">
        <v>474</v>
      </c>
      <c r="C18" s="337"/>
      <c r="D18" s="12"/>
      <c r="E18" s="12"/>
      <c r="F18" s="12"/>
      <c r="G18" s="12"/>
    </row>
    <row r="19" customFormat="false" ht="27.75" hidden="false" customHeight="true" outlineLevel="0" collapsed="false">
      <c r="A19" s="12"/>
      <c r="B19" s="331" t="n">
        <f aca="false">B17+1</f>
        <v>11</v>
      </c>
      <c r="C19" s="338" t="s">
        <v>475</v>
      </c>
      <c r="D19" s="12"/>
      <c r="E19" s="12"/>
      <c r="F19" s="12"/>
      <c r="G19" s="12"/>
    </row>
    <row r="20" customFormat="false" ht="27.75" hidden="false" customHeight="true" outlineLevel="0" collapsed="false">
      <c r="A20" s="12"/>
      <c r="B20" s="331" t="n">
        <f aca="false">B19+1</f>
        <v>12</v>
      </c>
      <c r="C20" s="338" t="s">
        <v>476</v>
      </c>
      <c r="D20" s="12"/>
      <c r="E20" s="12"/>
      <c r="F20" s="12"/>
      <c r="G20" s="12"/>
    </row>
    <row r="21" customFormat="false" ht="15" hidden="false" customHeight="true" outlineLevel="0" collapsed="false">
      <c r="A21" s="12"/>
      <c r="B21" s="337" t="s">
        <v>477</v>
      </c>
      <c r="C21" s="337"/>
      <c r="D21" s="12"/>
      <c r="E21" s="12"/>
      <c r="F21" s="12"/>
      <c r="G21" s="12"/>
    </row>
    <row r="22" customFormat="false" ht="27.75" hidden="false" customHeight="true" outlineLevel="0" collapsed="false">
      <c r="A22" s="12"/>
      <c r="B22" s="331" t="n">
        <f aca="false">B20+1</f>
        <v>13</v>
      </c>
      <c r="C22" s="338" t="s">
        <v>478</v>
      </c>
      <c r="D22" s="12"/>
      <c r="E22" s="12"/>
      <c r="F22" s="12"/>
      <c r="G22" s="12"/>
    </row>
    <row r="23" customFormat="false" ht="41.25" hidden="false" customHeight="true" outlineLevel="0" collapsed="false">
      <c r="A23" s="12"/>
      <c r="B23" s="331" t="n">
        <f aca="false">B22+1</f>
        <v>14</v>
      </c>
      <c r="C23" s="338" t="s">
        <v>479</v>
      </c>
      <c r="D23" s="12"/>
      <c r="E23" s="12"/>
      <c r="F23" s="12"/>
      <c r="G23" s="12"/>
    </row>
    <row r="24" customFormat="false" ht="15" hidden="false" customHeight="true" outlineLevel="0" collapsed="false">
      <c r="A24" s="12"/>
      <c r="B24" s="331" t="n">
        <f aca="false">B23+1</f>
        <v>15</v>
      </c>
      <c r="C24" s="338" t="s">
        <v>480</v>
      </c>
      <c r="D24" s="12"/>
      <c r="E24" s="12"/>
      <c r="F24" s="12"/>
      <c r="G24" s="12"/>
    </row>
    <row r="25" customFormat="false" ht="33" hidden="false" customHeight="true" outlineLevel="0" collapsed="false">
      <c r="A25" s="12"/>
      <c r="B25" s="331" t="n">
        <f aca="false">B24+1</f>
        <v>16</v>
      </c>
      <c r="C25" s="338" t="s">
        <v>481</v>
      </c>
      <c r="D25" s="12"/>
      <c r="E25" s="12"/>
      <c r="F25" s="12"/>
      <c r="G25" s="12"/>
    </row>
    <row r="26" customFormat="false" ht="15" hidden="false" customHeight="true" outlineLevel="0" collapsed="false">
      <c r="A26" s="12"/>
      <c r="B26" s="331" t="n">
        <f aca="false">B25+1</f>
        <v>17</v>
      </c>
      <c r="C26" s="338" t="s">
        <v>482</v>
      </c>
      <c r="D26" s="12"/>
      <c r="E26" s="12"/>
      <c r="F26" s="12"/>
      <c r="G26" s="12"/>
    </row>
    <row r="27" customFormat="false" ht="27.75" hidden="false" customHeight="true" outlineLevel="0" collapsed="false">
      <c r="A27" s="12"/>
      <c r="B27" s="331" t="n">
        <f aca="false">B26+1</f>
        <v>18</v>
      </c>
      <c r="C27" s="335" t="s">
        <v>483</v>
      </c>
      <c r="D27" s="12"/>
      <c r="E27" s="12"/>
      <c r="F27" s="12"/>
      <c r="G27" s="12"/>
    </row>
    <row r="28" customFormat="false" ht="15" hidden="false" customHeight="true" outlineLevel="0" collapsed="false">
      <c r="A28" s="12"/>
      <c r="B28" s="331" t="n">
        <f aca="false">B27+1</f>
        <v>19</v>
      </c>
      <c r="C28" s="335" t="s">
        <v>484</v>
      </c>
      <c r="D28" s="12"/>
      <c r="E28" s="12"/>
      <c r="F28" s="12"/>
      <c r="G28" s="12"/>
    </row>
    <row r="29" customFormat="false" ht="15" hidden="false" customHeight="true" outlineLevel="0" collapsed="false">
      <c r="A29" s="12"/>
      <c r="B29" s="12"/>
      <c r="C29" s="12"/>
      <c r="D29" s="12"/>
      <c r="E29" s="12"/>
      <c r="F29" s="12"/>
      <c r="G29" s="12"/>
    </row>
    <row r="30" customFormat="false" ht="15" hidden="false" customHeight="true" outlineLevel="0" collapsed="false">
      <c r="A30" s="12"/>
      <c r="B30" s="12"/>
      <c r="C30" s="12"/>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sheetData>
  <sheetProtection algorithmName="SHA-512" hashValue="DHwZAKVkc1N0o0rz16HCD7PfO+6H7a1D5Aw0cZwP1+WYbyGHyuha+707EMsFc4IpJS2etCIU6RQCrMkSGmtBSA==" saltValue="6eZxbUg8Uo35RS+1pS42rA==" spinCount="100000" sheet="true" objects="true" scenarios="true"/>
  <mergeCells count="6">
    <mergeCell ref="B3:C3"/>
    <mergeCell ref="B11:C11"/>
    <mergeCell ref="B14:C14"/>
    <mergeCell ref="B16:C16"/>
    <mergeCell ref="B18:C18"/>
    <mergeCell ref="B21:C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15" hidden="false" customHeight="true" outlineLevel="0" collapsed="false">
      <c r="A9" s="12"/>
      <c r="B9" s="331" t="n">
        <f aca="false">B8+1</f>
        <v>5</v>
      </c>
      <c r="C9" s="335" t="s">
        <v>467</v>
      </c>
      <c r="D9" s="12"/>
      <c r="E9" s="12"/>
      <c r="F9" s="12"/>
      <c r="G9" s="12"/>
    </row>
    <row r="10" customFormat="false" ht="15" hidden="false" customHeight="true" outlineLevel="0" collapsed="false">
      <c r="A10" s="12"/>
      <c r="B10" s="336" t="s">
        <v>468</v>
      </c>
      <c r="C10" s="336"/>
      <c r="D10" s="12"/>
      <c r="E10" s="12"/>
      <c r="F10" s="12"/>
      <c r="G10" s="12"/>
    </row>
    <row r="11" customFormat="false" ht="41.25" hidden="false" customHeight="true" outlineLevel="0" collapsed="false">
      <c r="A11" s="12"/>
      <c r="B11" s="331" t="n">
        <f aca="false">B9+1</f>
        <v>6</v>
      </c>
      <c r="C11" s="335" t="s">
        <v>469</v>
      </c>
      <c r="D11" s="12"/>
      <c r="E11" s="12"/>
      <c r="F11" s="12"/>
      <c r="G11" s="12"/>
    </row>
    <row r="12" customFormat="false" ht="27.75" hidden="false" customHeight="true" outlineLevel="0" collapsed="false">
      <c r="A12" s="12"/>
      <c r="B12" s="331" t="n">
        <f aca="false">B11+1</f>
        <v>7</v>
      </c>
      <c r="C12" s="278" t="s">
        <v>470</v>
      </c>
      <c r="D12" s="12"/>
      <c r="E12" s="12"/>
      <c r="F12" s="12"/>
      <c r="G12" s="12"/>
    </row>
    <row r="13" customFormat="false" ht="15" hidden="false" customHeight="true" outlineLevel="0" collapsed="false">
      <c r="A13" s="12"/>
      <c r="B13" s="336" t="s">
        <v>147</v>
      </c>
      <c r="C13" s="336"/>
      <c r="D13" s="12"/>
      <c r="E13" s="12"/>
      <c r="F13" s="12"/>
      <c r="G13" s="12"/>
    </row>
    <row r="14" customFormat="false" ht="41.25" hidden="false" customHeight="true" outlineLevel="0" collapsed="false">
      <c r="A14" s="12"/>
      <c r="B14" s="331" t="n">
        <f aca="false">B12+1</f>
        <v>8</v>
      </c>
      <c r="C14" s="335" t="s">
        <v>485</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B12+1</f>
        <v>8</v>
      </c>
      <c r="C16" s="335" t="s">
        <v>472</v>
      </c>
      <c r="D16" s="12"/>
      <c r="E16" s="12"/>
      <c r="F16" s="12"/>
      <c r="G16" s="12"/>
    </row>
    <row r="17" customFormat="false" ht="15" hidden="false" customHeight="true" outlineLevel="0" collapsed="false">
      <c r="A17" s="12"/>
      <c r="B17" s="337" t="s">
        <v>380</v>
      </c>
      <c r="C17" s="337"/>
      <c r="D17" s="12"/>
      <c r="E17" s="12"/>
      <c r="F17" s="12"/>
      <c r="G17" s="12"/>
    </row>
    <row r="18" customFormat="false" ht="27.75" hidden="false" customHeight="true" outlineLevel="0" collapsed="false">
      <c r="A18" s="12"/>
      <c r="B18" s="331" t="n">
        <f aca="false">B16+1</f>
        <v>9</v>
      </c>
      <c r="C18" s="335" t="s">
        <v>473</v>
      </c>
      <c r="D18" s="12"/>
      <c r="E18" s="12"/>
      <c r="F18" s="12"/>
      <c r="G18" s="12"/>
    </row>
    <row r="19" customFormat="false" ht="15" hidden="false" customHeight="true" outlineLevel="0" collapsed="false">
      <c r="A19" s="12"/>
      <c r="B19" s="337" t="s">
        <v>474</v>
      </c>
      <c r="C19" s="337"/>
      <c r="D19" s="12"/>
      <c r="E19" s="12"/>
      <c r="F19" s="12"/>
      <c r="G19" s="12"/>
    </row>
    <row r="20" customFormat="false" ht="27.75" hidden="false" customHeight="true" outlineLevel="0" collapsed="false">
      <c r="A20" s="12"/>
      <c r="B20" s="331" t="n">
        <f aca="false">B18+1</f>
        <v>10</v>
      </c>
      <c r="C20" s="338" t="s">
        <v>475</v>
      </c>
      <c r="D20" s="12"/>
      <c r="E20" s="12"/>
      <c r="F20" s="12"/>
      <c r="G20" s="12"/>
    </row>
    <row r="21" customFormat="false" ht="27.75" hidden="false" customHeight="true" outlineLevel="0" collapsed="false">
      <c r="A21" s="12"/>
      <c r="B21" s="331" t="n">
        <f aca="false">B20+1</f>
        <v>11</v>
      </c>
      <c r="C21" s="338" t="s">
        <v>476</v>
      </c>
      <c r="D21" s="12"/>
      <c r="E21" s="12"/>
      <c r="F21" s="12"/>
      <c r="G21" s="12"/>
    </row>
    <row r="22" customFormat="false" ht="15" hidden="false" customHeight="true" outlineLevel="0" collapsed="false">
      <c r="A22" s="12"/>
      <c r="B22" s="331" t="n">
        <f aca="false">B21+1</f>
        <v>12</v>
      </c>
      <c r="C22" s="338" t="s">
        <v>486</v>
      </c>
      <c r="D22" s="12"/>
      <c r="E22" s="12"/>
      <c r="F22" s="12"/>
      <c r="G22" s="12"/>
    </row>
    <row r="23" customFormat="false" ht="15" hidden="false" customHeight="true" outlineLevel="0" collapsed="false">
      <c r="A23" s="12"/>
      <c r="B23" s="337" t="s">
        <v>477</v>
      </c>
      <c r="C23" s="337"/>
      <c r="D23" s="12"/>
      <c r="E23" s="12"/>
      <c r="F23" s="12"/>
      <c r="G23" s="12"/>
    </row>
    <row r="24" customFormat="false" ht="27.75" hidden="false" customHeight="true" outlineLevel="0" collapsed="false">
      <c r="A24" s="12"/>
      <c r="B24" s="331" t="n">
        <f aca="false">B22+1</f>
        <v>13</v>
      </c>
      <c r="C24" s="338" t="s">
        <v>478</v>
      </c>
      <c r="D24" s="12"/>
      <c r="E24" s="12"/>
      <c r="F24" s="12"/>
      <c r="G24" s="12"/>
    </row>
    <row r="25" customFormat="false" ht="41.25" hidden="false" customHeight="true" outlineLevel="0" collapsed="false">
      <c r="A25" s="12"/>
      <c r="B25" s="331" t="n">
        <f aca="false">B24+1</f>
        <v>14</v>
      </c>
      <c r="C25" s="338" t="s">
        <v>479</v>
      </c>
      <c r="D25" s="12"/>
      <c r="E25" s="12"/>
      <c r="F25" s="12"/>
      <c r="G25" s="12"/>
    </row>
    <row r="26" customFormat="false" ht="15" hidden="false" customHeight="true" outlineLevel="0" collapsed="false">
      <c r="A26" s="12"/>
      <c r="B26" s="331" t="n">
        <f aca="false">B25+1</f>
        <v>15</v>
      </c>
      <c r="C26" s="338" t="s">
        <v>480</v>
      </c>
      <c r="D26" s="12"/>
      <c r="E26" s="12"/>
      <c r="F26" s="12"/>
      <c r="G26" s="12"/>
    </row>
    <row r="27" customFormat="false" ht="33" hidden="false" customHeight="true" outlineLevel="0" collapsed="false">
      <c r="A27" s="12"/>
      <c r="B27" s="331" t="n">
        <f aca="false">B26+1</f>
        <v>16</v>
      </c>
      <c r="C27" s="338" t="s">
        <v>481</v>
      </c>
      <c r="D27" s="12"/>
      <c r="E27" s="12"/>
      <c r="F27" s="12"/>
      <c r="G27" s="12"/>
    </row>
    <row r="28" customFormat="false" ht="15" hidden="false" customHeight="true" outlineLevel="0" collapsed="false">
      <c r="A28" s="12"/>
      <c r="B28" s="331" t="n">
        <f aca="false">B27+1</f>
        <v>17</v>
      </c>
      <c r="C28" s="338" t="s">
        <v>482</v>
      </c>
      <c r="D28" s="12"/>
      <c r="E28" s="12"/>
      <c r="F28" s="12"/>
      <c r="G28" s="12"/>
    </row>
    <row r="29" customFormat="false" ht="27.75" hidden="false" customHeight="true" outlineLevel="0" collapsed="false">
      <c r="A29" s="12"/>
      <c r="B29" s="331" t="n">
        <f aca="false">B28+1</f>
        <v>18</v>
      </c>
      <c r="C29" s="335" t="s">
        <v>483</v>
      </c>
      <c r="D29" s="12"/>
      <c r="E29" s="12"/>
      <c r="F29" s="12"/>
      <c r="G29" s="12"/>
    </row>
    <row r="30" customFormat="false" ht="15" hidden="false" customHeight="true" outlineLevel="0" collapsed="false">
      <c r="A30" s="12"/>
      <c r="B30" s="331" t="n">
        <f aca="false">B29+1</f>
        <v>19</v>
      </c>
      <c r="C30" s="335" t="s">
        <v>484</v>
      </c>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row r="36" customFormat="false" ht="15" hidden="false" customHeight="true" outlineLevel="0" collapsed="false">
      <c r="A36" s="12"/>
      <c r="B36" s="12"/>
      <c r="C36" s="12"/>
      <c r="D36" s="12"/>
      <c r="E36" s="12"/>
      <c r="F36" s="12"/>
      <c r="G36" s="12"/>
    </row>
    <row r="37" customFormat="false" ht="15" hidden="false" customHeight="true" outlineLevel="0" collapsed="false">
      <c r="A37" s="12"/>
      <c r="B37" s="12"/>
      <c r="C37" s="12"/>
      <c r="D37" s="12"/>
      <c r="E37" s="12"/>
      <c r="F37" s="12"/>
      <c r="G37" s="12"/>
    </row>
  </sheetData>
  <sheetProtection algorithmName="SHA-512" hashValue="VJ3ivEajpTrpwjObByNkbCXgDm/ktDhTIriFXO0PV2rCMycLK49XVsOA7hvbDOrsDOrJXIm5N/P8Kwn/UKmd7w==" saltValue="8J/hRL0iknmqk4Sb1XdAeg==" spinCount="100000" sheet="true" objects="true" scenarios="true"/>
  <mergeCells count="7">
    <mergeCell ref="B3:C3"/>
    <mergeCell ref="B10:C10"/>
    <mergeCell ref="B13:C13"/>
    <mergeCell ref="B15:C15"/>
    <mergeCell ref="B17:C17"/>
    <mergeCell ref="B19:C19"/>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6.29"/>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487</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488</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27.75" hidden="false" customHeight="true" outlineLevel="0" collapsed="false">
      <c r="A12" s="12"/>
      <c r="B12" s="331" t="n">
        <f aca="false">B10+1</f>
        <v>7</v>
      </c>
      <c r="C12" s="335" t="s">
        <v>489</v>
      </c>
      <c r="D12" s="12"/>
      <c r="E12" s="12"/>
      <c r="F12" s="12"/>
      <c r="G12" s="12"/>
    </row>
    <row r="13" customFormat="false" ht="15" hidden="false" customHeight="true" outlineLevel="0" collapsed="false">
      <c r="A13" s="12"/>
      <c r="B13" s="336" t="s">
        <v>147</v>
      </c>
      <c r="C13" s="336"/>
      <c r="D13" s="12"/>
      <c r="E13" s="12"/>
      <c r="F13" s="12"/>
      <c r="G13" s="12"/>
    </row>
    <row r="14" customFormat="false" ht="54.75" hidden="false" customHeight="true" outlineLevel="0" collapsed="false">
      <c r="A14" s="12"/>
      <c r="B14" s="331" t="n">
        <f aca="false">B12+1</f>
        <v>8</v>
      </c>
      <c r="C14" s="335" t="s">
        <v>490</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B14+1</f>
        <v>9</v>
      </c>
      <c r="C16" s="335" t="s">
        <v>491</v>
      </c>
      <c r="D16" s="12"/>
      <c r="E16" s="12"/>
      <c r="F16" s="12"/>
      <c r="G16" s="12"/>
    </row>
    <row r="17" customFormat="false" ht="15" hidden="false" customHeight="true" outlineLevel="0" collapsed="false">
      <c r="A17" s="12"/>
      <c r="B17" s="336" t="s">
        <v>149</v>
      </c>
      <c r="C17" s="336"/>
      <c r="D17" s="12"/>
      <c r="E17" s="12"/>
      <c r="F17" s="12"/>
      <c r="G17" s="12"/>
    </row>
    <row r="18" customFormat="false" ht="15" hidden="false" customHeight="true" outlineLevel="0" collapsed="false">
      <c r="A18" s="12"/>
      <c r="B18" s="331" t="n">
        <f aca="false">B16+1</f>
        <v>10</v>
      </c>
      <c r="C18" s="335" t="s">
        <v>492</v>
      </c>
      <c r="D18" s="12"/>
      <c r="E18" s="12"/>
      <c r="F18" s="12"/>
      <c r="G18" s="12"/>
    </row>
    <row r="19" customFormat="false" ht="15" hidden="false" customHeight="true" outlineLevel="0" collapsed="false">
      <c r="A19" s="12"/>
      <c r="B19" s="336" t="s">
        <v>150</v>
      </c>
      <c r="C19" s="336"/>
      <c r="D19" s="12"/>
      <c r="E19" s="12"/>
      <c r="F19" s="12"/>
      <c r="G19" s="12"/>
    </row>
    <row r="20" customFormat="false" ht="15" hidden="false" customHeight="true" outlineLevel="0" collapsed="false">
      <c r="A20" s="12"/>
      <c r="B20" s="331" t="n">
        <f aca="false">B18+1</f>
        <v>11</v>
      </c>
      <c r="C20" s="335" t="s">
        <v>493</v>
      </c>
      <c r="D20" s="12"/>
      <c r="E20" s="12"/>
      <c r="F20" s="12"/>
      <c r="G20" s="12"/>
    </row>
    <row r="21" customFormat="false" ht="15" hidden="false" customHeight="true" outlineLevel="0" collapsed="false">
      <c r="A21" s="12"/>
      <c r="B21" s="336" t="s">
        <v>494</v>
      </c>
      <c r="C21" s="336"/>
      <c r="D21" s="12"/>
      <c r="E21" s="12"/>
      <c r="F21" s="12"/>
      <c r="G21" s="12"/>
    </row>
    <row r="22" customFormat="false" ht="15" hidden="false" customHeight="true" outlineLevel="0" collapsed="false">
      <c r="A22" s="12"/>
      <c r="B22" s="331" t="n">
        <f aca="false">B20+1</f>
        <v>12</v>
      </c>
      <c r="C22" s="335" t="s">
        <v>493</v>
      </c>
      <c r="D22" s="12"/>
      <c r="E22" s="12"/>
      <c r="F22" s="12"/>
      <c r="G22" s="12"/>
    </row>
    <row r="23" customFormat="false" ht="15" hidden="false" customHeight="true" outlineLevel="0" collapsed="false">
      <c r="A23" s="12"/>
      <c r="B23" s="337" t="s">
        <v>380</v>
      </c>
      <c r="C23" s="337"/>
      <c r="D23" s="12"/>
      <c r="E23" s="12"/>
      <c r="F23" s="12"/>
      <c r="G23" s="12"/>
    </row>
    <row r="24" customFormat="false" ht="27.75" hidden="false" customHeight="true" outlineLevel="0" collapsed="false">
      <c r="A24" s="12"/>
      <c r="B24" s="331" t="n">
        <f aca="false">B22+1</f>
        <v>13</v>
      </c>
      <c r="C24" s="335" t="s">
        <v>495</v>
      </c>
      <c r="D24" s="12"/>
      <c r="E24" s="12"/>
      <c r="F24" s="12"/>
      <c r="G24" s="12"/>
    </row>
    <row r="25" customFormat="false" ht="15" hidden="false" customHeight="true" outlineLevel="0" collapsed="false">
      <c r="A25" s="12"/>
      <c r="B25" s="337" t="s">
        <v>474</v>
      </c>
      <c r="C25" s="337"/>
      <c r="D25" s="12"/>
      <c r="E25" s="12"/>
      <c r="F25" s="12"/>
      <c r="G25" s="12"/>
    </row>
    <row r="26" customFormat="false" ht="27.75" hidden="false" customHeight="true" outlineLevel="0" collapsed="false">
      <c r="A26" s="12"/>
      <c r="B26" s="331" t="n">
        <f aca="false">B24+1</f>
        <v>14</v>
      </c>
      <c r="C26" s="338" t="s">
        <v>475</v>
      </c>
      <c r="D26" s="12"/>
      <c r="E26" s="12"/>
      <c r="F26" s="12"/>
      <c r="G26" s="12"/>
    </row>
    <row r="27" customFormat="false" ht="27.75" hidden="false" customHeight="true" outlineLevel="0" collapsed="false">
      <c r="A27" s="12"/>
      <c r="B27" s="331" t="n">
        <f aca="false">B26+1</f>
        <v>15</v>
      </c>
      <c r="C27" s="338" t="s">
        <v>476</v>
      </c>
      <c r="D27" s="12"/>
      <c r="E27" s="12"/>
      <c r="F27" s="12"/>
      <c r="G27" s="12"/>
    </row>
    <row r="28" customFormat="false" ht="15" hidden="false" customHeight="true" outlineLevel="0" collapsed="false">
      <c r="A28" s="12"/>
      <c r="B28" s="337" t="s">
        <v>496</v>
      </c>
      <c r="C28" s="337"/>
      <c r="D28" s="12"/>
      <c r="E28" s="12"/>
      <c r="F28" s="12"/>
      <c r="G28" s="12"/>
    </row>
    <row r="29" customFormat="false" ht="15" hidden="false" customHeight="true" outlineLevel="0" collapsed="false">
      <c r="A29" s="12"/>
      <c r="B29" s="331" t="n">
        <f aca="false">B27+1</f>
        <v>16</v>
      </c>
      <c r="C29" s="335" t="s">
        <v>497</v>
      </c>
      <c r="D29" s="12"/>
      <c r="E29" s="12"/>
      <c r="F29" s="12"/>
      <c r="G29" s="12"/>
    </row>
    <row r="30" customFormat="false" ht="15" hidden="false" customHeight="true" outlineLevel="0" collapsed="false">
      <c r="A30" s="12"/>
      <c r="B30" s="337" t="s">
        <v>498</v>
      </c>
      <c r="C30" s="337"/>
      <c r="D30" s="12"/>
      <c r="E30" s="12"/>
      <c r="F30" s="12"/>
      <c r="G30" s="12"/>
    </row>
    <row r="31" customFormat="false" ht="41.25" hidden="false" customHeight="true" outlineLevel="0" collapsed="false">
      <c r="A31" s="12"/>
      <c r="B31" s="331" t="n">
        <f aca="false">B29+1</f>
        <v>17</v>
      </c>
      <c r="C31" s="335" t="s">
        <v>499</v>
      </c>
      <c r="D31" s="12"/>
      <c r="E31" s="12"/>
      <c r="F31" s="12"/>
      <c r="G31" s="12"/>
    </row>
    <row r="32" customFormat="false" ht="15" hidden="false" customHeight="true" outlineLevel="0" collapsed="false">
      <c r="A32" s="12"/>
      <c r="B32" s="337" t="s">
        <v>477</v>
      </c>
      <c r="C32" s="337"/>
      <c r="D32" s="12"/>
      <c r="E32" s="12"/>
      <c r="F32" s="12"/>
      <c r="G32" s="12"/>
    </row>
    <row r="33" customFormat="false" ht="27.75" hidden="false" customHeight="true" outlineLevel="0" collapsed="false">
      <c r="A33" s="12"/>
      <c r="B33" s="331" t="n">
        <f aca="false">B31+1</f>
        <v>18</v>
      </c>
      <c r="C33" s="338" t="s">
        <v>478</v>
      </c>
      <c r="D33" s="12"/>
      <c r="E33" s="12"/>
      <c r="F33" s="12"/>
      <c r="G33" s="12"/>
    </row>
    <row r="34" customFormat="false" ht="41.25" hidden="false" customHeight="true" outlineLevel="0" collapsed="false">
      <c r="A34" s="12"/>
      <c r="B34" s="331" t="n">
        <f aca="false">B33+1</f>
        <v>19</v>
      </c>
      <c r="C34" s="338" t="s">
        <v>500</v>
      </c>
      <c r="D34" s="12"/>
      <c r="E34" s="12"/>
      <c r="F34" s="12"/>
      <c r="G34" s="12"/>
    </row>
    <row r="35" customFormat="false" ht="15" hidden="false" customHeight="true" outlineLevel="0" collapsed="false">
      <c r="A35" s="12"/>
      <c r="B35" s="331" t="n">
        <f aca="false">B34+1</f>
        <v>20</v>
      </c>
      <c r="C35" s="338" t="s">
        <v>501</v>
      </c>
      <c r="D35" s="12"/>
      <c r="E35" s="12"/>
      <c r="F35" s="12"/>
      <c r="G35" s="12"/>
    </row>
    <row r="36" customFormat="false" ht="27.75" hidden="false" customHeight="true" outlineLevel="0" collapsed="false">
      <c r="A36" s="12"/>
      <c r="B36" s="331" t="n">
        <f aca="false">B35+1</f>
        <v>21</v>
      </c>
      <c r="C36" s="335" t="s">
        <v>483</v>
      </c>
      <c r="D36" s="12"/>
      <c r="E36" s="12"/>
      <c r="F36" s="12"/>
      <c r="G36" s="12"/>
    </row>
    <row r="37" customFormat="false" ht="15" hidden="false" customHeight="true" outlineLevel="0" collapsed="false">
      <c r="A37" s="12"/>
      <c r="B37" s="12"/>
      <c r="C37" s="12"/>
      <c r="D37" s="12"/>
      <c r="E37" s="12"/>
      <c r="F37" s="12"/>
      <c r="G37" s="12"/>
    </row>
    <row r="38" customFormat="false" ht="15" hidden="false" customHeight="true" outlineLevel="0" collapsed="false">
      <c r="A38" s="12"/>
      <c r="B38" s="12"/>
      <c r="C38" s="12"/>
      <c r="D38" s="12"/>
      <c r="E38" s="12"/>
      <c r="F38" s="12"/>
      <c r="G38" s="12"/>
    </row>
    <row r="39" customFormat="false" ht="15" hidden="false" customHeight="true" outlineLevel="0" collapsed="false">
      <c r="A39" s="12"/>
      <c r="B39" s="12"/>
      <c r="C39" s="12"/>
      <c r="D39" s="12"/>
      <c r="E39" s="12"/>
      <c r="F39" s="12"/>
      <c r="G39" s="12"/>
    </row>
    <row r="40" customFormat="false" ht="15" hidden="false" customHeight="true" outlineLevel="0" collapsed="false">
      <c r="A40" s="12"/>
      <c r="B40" s="12"/>
      <c r="C40" s="12"/>
      <c r="D40" s="12"/>
      <c r="E40" s="12"/>
      <c r="F40" s="12"/>
      <c r="G40" s="12"/>
    </row>
    <row r="41" customFormat="false" ht="15" hidden="false" customHeight="true" outlineLevel="0" collapsed="false">
      <c r="A41" s="12"/>
      <c r="B41" s="12"/>
      <c r="C41" s="12"/>
      <c r="D41" s="12"/>
      <c r="E41" s="12"/>
      <c r="F41" s="12"/>
      <c r="G41" s="12"/>
    </row>
    <row r="42" customFormat="false" ht="15" hidden="false" customHeight="true" outlineLevel="0" collapsed="false">
      <c r="A42" s="12"/>
      <c r="B42" s="12"/>
      <c r="C42" s="12"/>
      <c r="D42" s="12"/>
      <c r="E42" s="12"/>
      <c r="F42" s="12"/>
      <c r="G42" s="12"/>
    </row>
    <row r="43" customFormat="false" ht="15" hidden="false" customHeight="true" outlineLevel="0" collapsed="false">
      <c r="A43" s="12"/>
      <c r="B43" s="12"/>
      <c r="C43" s="12"/>
      <c r="D43" s="12"/>
      <c r="E43" s="12"/>
      <c r="F43" s="12"/>
      <c r="G43" s="12"/>
    </row>
  </sheetData>
  <sheetProtection algorithmName="SHA-512" hashValue="d6AbGnsfDpxmX6dher4ZdlTTxyCu+9iMAvSfo7YlACDLUhRQbcxZ4oMLyOrYsTPQ6vNTnUpbusyXFd+ciy9w7w==" saltValue="qhoCIK0Dxfj3P6yHEGA1hA==" spinCount="100000" sheet="true" objects="true" scenarios="true"/>
  <mergeCells count="12">
    <mergeCell ref="B3:C3"/>
    <mergeCell ref="B11:C11"/>
    <mergeCell ref="B13:C13"/>
    <mergeCell ref="B15:C15"/>
    <mergeCell ref="B17:C17"/>
    <mergeCell ref="B19:C19"/>
    <mergeCell ref="B21:C21"/>
    <mergeCell ref="B23:C23"/>
    <mergeCell ref="B25:C25"/>
    <mergeCell ref="B28:C28"/>
    <mergeCell ref="B30:C30"/>
    <mergeCell ref="B32:C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3: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7" activeCellId="0" sqref="F17"/>
    </sheetView>
  </sheetViews>
  <sheetFormatPr defaultColWidth="8.6796875" defaultRowHeight="15" zeroHeight="false" outlineLevelRow="0" outlineLevelCol="0"/>
  <sheetData>
    <row r="3" customFormat="false" ht="15" hidden="false" customHeight="true" outlineLevel="0" collapsed="false">
      <c r="D3" s="1" t="s">
        <v>210</v>
      </c>
    </row>
    <row r="4" customFormat="false" ht="15" hidden="false" customHeight="true" outlineLevel="0" collapsed="false">
      <c r="D4" s="1" t="s">
        <v>141</v>
      </c>
    </row>
    <row r="5" customFormat="false" ht="15" hidden="false" customHeight="true" outlineLevel="0" collapsed="false">
      <c r="D5" s="1" t="s">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2020-02-26T10:21:54Z</dcterms:created>
  <dc:creator>Naveen Vaila</dc:creator>
  <dc:description/>
  <dc:language>en-US</dc:language>
  <cp:lastModifiedBy/>
  <dcterms:modified xsi:type="dcterms:W3CDTF">2026-03-24T07:34:41Z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0x010100227C8883F200AE4AA7DC677F98F1DD40</vt:lpwstr>
  </property>
</Properties>
</file>